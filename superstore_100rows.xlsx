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Himangi\OneDrive\Desktop\"/>
    </mc:Choice>
  </mc:AlternateContent>
  <xr:revisionPtr revIDLastSave="0" documentId="13_ncr:1_{379D0E75-3493-4770-B2BB-F5A041D2773C}" xr6:coauthVersionLast="47" xr6:coauthVersionMax="47" xr10:uidLastSave="{00000000-0000-0000-0000-000000000000}"/>
  <bookViews>
    <workbookView xWindow="-108" yWindow="-108" windowWidth="23256" windowHeight="12456" activeTab="2" xr2:uid="{0D73050A-17AD-4DF7-865C-235DB714555C}"/>
  </bookViews>
  <sheets>
    <sheet name="Raw_Data" sheetId="1" r:id="rId1"/>
    <sheet name="Pivot_Tables" sheetId="3" r:id="rId2"/>
    <sheet name="Dashboard" sheetId="4" r:id="rId3"/>
  </sheets>
  <definedNames>
    <definedName name="Slicer_Category">#N/A</definedName>
    <definedName name="Slicer_Region">#N/A</definedName>
    <definedName name="Slicer_Segment">#N/A</definedName>
  </definedNames>
  <calcPr calcId="191029"/>
  <pivotCaches>
    <pivotCache cacheId="0"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 l="1"/>
  <c r="B11" i="4"/>
  <c r="B10" i="4"/>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alcChain>
</file>

<file path=xl/sharedStrings.xml><?xml version="1.0" encoding="utf-8"?>
<sst xmlns="http://schemas.openxmlformats.org/spreadsheetml/2006/main" count="884" uniqueCount="117">
  <si>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</si>
  <si>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</si>
  <si>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</si>
  <si>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</si>
  <si>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</si>
  <si>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</si>
  <si>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</si>
  <si>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</si>
  <si>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</si>
  <si>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</si>
  <si>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</si>
  <si>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</si>
  <si>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</si>
  <si>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</si>
  <si>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</si>
  <si>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</si>
  <si>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</si>
  <si>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</si>
  <si>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</si>
  <si>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</si>
  <si>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</si>
  <si>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</si>
  <si>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</si>
  <si>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</si>
  <si>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</si>
  <si>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</si>
  <si>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</si>
  <si>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</si>
  <si>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</si>
  <si>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</si>
  <si>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</si>
  <si>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</si>
  <si>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</si>
  <si>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</si>
  <si>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</si>
  <si>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</si>
  <si>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</si>
  <si>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</si>
  <si>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</si>
  <si>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</si>
  <si>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</si>
  <si>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</si>
  <si>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</si>
  <si>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</si>
  <si>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</si>
  <si>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</si>
  <si>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</si>
  <si>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</si>
  <si>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</si>
  <si>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</si>
  <si>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</si>
  <si>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</si>
  <si>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</si>
  <si>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</si>
  <si>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</si>
  <si>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</si>
  <si>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</si>
  <si>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</si>
  <si>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</si>
  <si>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</si>
  <si>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</si>
  <si>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</si>
  <si>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</si>
  <si>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</si>
  <si>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</si>
  <si>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</si>
  <si>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</si>
  <si>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</si>
  <si>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</si>
  <si>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</si>
  <si>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</si>
  <si>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</si>
  <si>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</si>
  <si>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</si>
  <si>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</si>
  <si>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</si>
  <si>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</si>
  <si>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</si>
  <si>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</si>
  <si>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</si>
  <si>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</si>
  <si>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</si>
  <si>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</si>
  <si>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</si>
  <si>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</si>
  <si>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</si>
  <si>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</si>
  <si>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</si>
  <si>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</si>
  <si>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</si>
  <si>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</si>
  <si>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</si>
  <si>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</si>
  <si>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</si>
  <si>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</si>
  <si>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</si>
  <si>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</si>
  <si>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Profit Margin %</t>
  </si>
  <si>
    <t>Sales Category</t>
  </si>
  <si>
    <t>Row Labels</t>
  </si>
  <si>
    <t>Grand Total</t>
  </si>
  <si>
    <t>Sum of Sales</t>
  </si>
  <si>
    <t>Sum of Profit</t>
  </si>
  <si>
    <t>Region Wise Sales</t>
  </si>
  <si>
    <t>Sub-Category Analysis</t>
  </si>
  <si>
    <t>Category Wise Profit</t>
  </si>
  <si>
    <t>Segment Wise Sales</t>
  </si>
  <si>
    <t>State Wise Profit</t>
  </si>
  <si>
    <t>Segment Share</t>
  </si>
  <si>
    <t>Profit by  category</t>
  </si>
  <si>
    <t>Sub-Category Sales</t>
  </si>
  <si>
    <t>Total Sales</t>
  </si>
  <si>
    <t>Total Profit</t>
  </si>
  <si>
    <t>Total Quantity</t>
  </si>
  <si>
    <t>KPI Summary</t>
  </si>
  <si>
    <t xml:space="preserve"> </t>
  </si>
  <si>
    <t>Dashboard Of Superstore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</si>
</sst>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6"/>
      <color theme="1"/>
      <name val="Aptos Narrow"/>
      <family val="2"/>
      <scheme val="minor"/>
    </font>
    <font>
      <b/>
      <sz val="14"/>
      <color theme="1"/>
      <name val="Aptos Narrow"/>
      <family val="2"/>
      <scheme val="minor"/>
    </font>
    <font>
      <b/>
      <sz val="14"/>
      <name val="Aptos Narrow"/>
      <family val="2"/>
      <scheme val="minor"/>
    </font>
    <font>
      <sz val="11"/>
      <color theme="1"/>
      <name val="Aptos Display"/>
      <family val="2"/>
      <scheme val="major"/>
    </font>
    <font>
      <sz val="12"/>
      <color theme="1"/>
      <name val="Aptos Narrow"/>
      <family val="2"/>
      <scheme val="minor"/>
    </font>
    <font>
      <sz val="14"/>
      <color theme="1"/>
      <name val="Aptos Display"/>
      <family val="2"/>
      <scheme val="major"/>
    </font>
    <font>
      <sz val="12"/>
      <color theme="1"/>
      <name val="Aptos Display"/>
      <family val="2"/>
      <scheme val="major"/>
    </font>
  </fonts>
  <fills count="8">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2"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1" fontId="0" fillId="0" borderId="0" xfId="0" applyNumberFormat="1"/>
    <xf numFmtId="0" fontId="0" fillId="0" borderId="0" xfId="0" applyAlignment="1">
      <alignment horizontal="center"/>
    </xf>
    <xf numFmtId="9" fontId="0" fillId="0" borderId="0" xfId="1" applyFont="1"/>
    <xf numFmtId="9" fontId="0" fillId="0" borderId="0" xfId="1" applyFont="1" applyAlignment="1">
      <alignment horizontal="center"/>
    </xf>
    <xf numFmtId="0" fontId="0" fillId="0" borderId="1" xfId="0" pivotButton="1" applyBorder="1" applyAlignment="1">
      <alignment horizontal="center" vertical="center"/>
    </xf>
    <xf numFmtId="0" fontId="0" fillId="0" borderId="1" xfId="0" applyBorder="1" applyAlignment="1">
      <alignment horizontal="center" vertical="center"/>
    </xf>
    <xf numFmtId="0" fontId="0" fillId="0" borderId="1" xfId="0" pivotButton="1" applyBorder="1" applyAlignment="1">
      <alignment horizontal="center"/>
    </xf>
    <xf numFmtId="0" fontId="0" fillId="0" borderId="1" xfId="0" applyBorder="1" applyAlignment="1">
      <alignment horizontal="center"/>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center" wrapText="1"/>
    </xf>
    <xf numFmtId="0" fontId="4" fillId="3" borderId="0" xfId="0" applyFont="1" applyFill="1" applyAlignment="1">
      <alignment horizontal="center"/>
    </xf>
    <xf numFmtId="0" fontId="4" fillId="3" borderId="0" xfId="0" applyFont="1" applyFill="1" applyAlignment="1">
      <alignment horizontal="center" vertical="center" wrapText="1"/>
    </xf>
    <xf numFmtId="0" fontId="6" fillId="0" borderId="0" xfId="0" applyFont="1" applyAlignment="1">
      <alignment vertical="center"/>
    </xf>
    <xf numFmtId="0" fontId="0" fillId="0" borderId="0" xfId="0" applyAlignment="1">
      <alignment horizontal="center" vertical="center"/>
    </xf>
    <xf numFmtId="0" fontId="4" fillId="4" borderId="0" xfId="0" applyFont="1" applyFill="1" applyAlignment="1">
      <alignment horizontal="center" vertical="center" wrapText="1"/>
    </xf>
    <xf numFmtId="0" fontId="4" fillId="4" borderId="0" xfId="0" applyFont="1" applyFill="1" applyAlignment="1">
      <alignment horizontal="center"/>
    </xf>
    <xf numFmtId="0" fontId="2" fillId="2" borderId="0" xfId="0" applyFont="1" applyFill="1" applyAlignment="1">
      <alignment horizontal="center" vertical="center"/>
    </xf>
    <xf numFmtId="0" fontId="2" fillId="2" borderId="0" xfId="0" applyFont="1" applyFill="1" applyAlignment="1">
      <alignment horizontal="center"/>
    </xf>
    <xf numFmtId="0" fontId="2" fillId="2" borderId="1" xfId="0" applyFont="1" applyFill="1" applyBorder="1" applyAlignment="1">
      <alignment horizontal="center"/>
    </xf>
    <xf numFmtId="0" fontId="0" fillId="0" borderId="0" xfId="0" applyAlignment="1"/>
    <xf numFmtId="0" fontId="7" fillId="5" borderId="1" xfId="0" applyFont="1" applyFill="1" applyBorder="1" applyAlignment="1">
      <alignment horizontal="center" vertical="center"/>
    </xf>
    <xf numFmtId="0" fontId="9" fillId="2" borderId="2" xfId="0" applyFont="1" applyFill="1" applyBorder="1" applyAlignment="1">
      <alignment horizontal="center"/>
    </xf>
    <xf numFmtId="0" fontId="9" fillId="2" borderId="3" xfId="0" applyFont="1" applyFill="1" applyBorder="1" applyAlignment="1">
      <alignment horizontal="center"/>
    </xf>
    <xf numFmtId="0" fontId="5" fillId="6" borderId="0" xfId="0" applyFont="1" applyFill="1" applyAlignment="1">
      <alignment horizontal="center" vertical="center"/>
    </xf>
    <xf numFmtId="0" fontId="4" fillId="3" borderId="0" xfId="0" applyFont="1" applyFill="1" applyAlignment="1">
      <alignment horizontal="center" vertical="center" wrapText="1"/>
    </xf>
    <xf numFmtId="0" fontId="4" fillId="3" borderId="0" xfId="0" applyFont="1" applyFill="1" applyAlignment="1">
      <alignment horizontal="center"/>
    </xf>
    <xf numFmtId="0" fontId="8" fillId="7" borderId="0" xfId="0" applyFont="1" applyFill="1" applyAlignment="1">
      <alignment horizontal="center"/>
    </xf>
  </cellXfs>
  <cellStyles count="2">
    <cellStyle name="Normal" xfId="0" builtinId="0"/>
    <cellStyle name="Percent" xfId="1" builtinId="5"/>
  </cellStyles>
  <dxfs count="88">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[superstore_100rows.xlsx]Pivot_Tables!PivotTable9</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B62-4E98-9E8B-DE5422918A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B62-4E98-9E8B-DE5422918A9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B62-4E98-9E8B-DE5422918A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Pivot_Tables!$K$4:$K$7</c:f>
              <c:strCache>
                <c:ptCount val="3"/>
                <c:pt idx="0">
                  <c:v>Consumer</c:v>
                </c:pt>
                <c:pt idx="1">
                  <c:v>Corporate</c:v>
                </c:pt>
                <c:pt idx="2">
                  <c:v>Home Office</c:v>
                </c:pt>
              </c:strCache>
            </c:strRef>
          </c:cat>
          <c:val>
            <c:numRef>
              <c:f>Pivot_Tables!$L$4:$L$7</c:f>
              <c:numCache>
                <c:formatCode>General</c:formatCode>
                <c:ptCount val="3"/>
                <c:pt idx="0">
                  <c:v>14670.74349999999</c:v>
                </c:pt>
                <c:pt idx="1">
                  <c:v>4735.3139999999994</c:v>
                </c:pt>
                <c:pt idx="2">
                  <c:v>2033.8501999999999</c:v>
                </c:pt>
              </c:numCache>
            </c:numRef>
          </c:val>
          <c:extLst>
            <c:ext xmlns:c16="http://schemas.microsoft.com/office/drawing/2014/chart" uri="{C3380CC4-5D6E-409C-BE32-E72D297353CC}">
              <c16:uniqueId val="{00000006-0B62-4E98-9E8B-DE5422918A9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[superstore_100rows.xlsx]Pivot_Tables!PivotTable7</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56036745406817E-2"/>
          <c:y val="0.25865522018081066"/>
          <c:w val="0.71664063867016625"/>
          <c:h val="0.59421733741615634"/>
        </c:manualLayout>
      </c:layout>
      <c:lineChart>
        <c:grouping val="standard"/>
        <c:varyColors val="0"/>
        <c:ser>
          <c:idx val="0"/>
          <c:order val="0"/>
          <c:tx>
            <c:strRef>
              <c:f>Pivot_Tables!$I$3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Pivot_Tables!$H$4:$H$7</c:f>
              <c:strCache>
                <c:ptCount val="3"/>
                <c:pt idx="0">
                  <c:v>Furniture</c:v>
                </c:pt>
                <c:pt idx="1">
                  <c:v>Office Supplies</c:v>
                </c:pt>
                <c:pt idx="2">
                  <c:v>Technology</c:v>
                </c:pt>
              </c:strCache>
            </c:strRef>
          </c:cat>
          <c:val>
            <c:numRef>
              <c:f>Pivot_Tables!$I$4:$I$7</c:f>
              <c:numCache>
                <c:formatCode>General</c:formatCode>
                <c:ptCount val="3"/>
                <c:pt idx="0">
                  <c:v>-1651.3463000000004</c:v>
                </c:pt>
                <c:pt idx="1">
                  <c:v>741.16870000000029</c:v>
                </c:pt>
                <c:pt idx="2">
                  <c:v>785.66849999999988</c:v>
                </c:pt>
              </c:numCache>
            </c:numRef>
          </c:val>
          <c:smooth val="0"/>
          <c:extLst>
            <c:ext xmlns:c16="http://schemas.microsoft.com/office/drawing/2014/chart" uri="{C3380CC4-5D6E-409C-BE32-E72D297353CC}">
              <c16:uniqueId val="{00000000-0AC8-4A27-9494-CA20755C8D18}"/>
            </c:ext>
          </c:extLst>
        </c:ser>
        <c:dLbls>
          <c:showLegendKey val="0"/>
          <c:showVal val="0"/>
          <c:showCatName val="0"/>
          <c:showSerName val="0"/>
          <c:showPercent val="0"/>
          <c:showBubbleSize val="0"/>
        </c:dLbls>
        <c:marker val="1"/>
        <c:smooth val="0"/>
        <c:axId val="1191782623"/>
        <c:axId val="1191785983"/>
      </c:lineChart>
      <c:catAx>
        <c:axId val="1191782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785983"/>
        <c:crosses val="autoZero"/>
        <c:auto val="1"/>
        <c:lblAlgn val="ctr"/>
        <c:lblOffset val="100"/>
        <c:noMultiLvlLbl val="0"/>
      </c:catAx>
      <c:valAx>
        <c:axId val="1191785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782623"/>
        <c:crosses val="autoZero"/>
        <c:crossBetween val="between"/>
      </c:valAx>
      <c:spPr>
        <a:noFill/>
        <a:ln>
          <a:noFill/>
        </a:ln>
        <a:effectLst/>
      </c:spPr>
    </c:plotArea>
    <c:legend>
      <c:legendPos val="r"/>
      <c:layout>
        <c:manualLayout>
          <c:xMode val="edge"/>
          <c:yMode val="edge"/>
          <c:x val="0.83276334208223979"/>
          <c:y val="0.89922426363371244"/>
          <c:w val="0.12948738696381826"/>
          <c:h val="9.35997380667536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[superstore_100rows.xlsx]Pivot_Tables!PivotTable2</c:name>
    <c:fmtId val="2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Pivot_Tables!$A$4:$A$8</c:f>
              <c:strCache>
                <c:ptCount val="4"/>
                <c:pt idx="0">
                  <c:v>Central</c:v>
                </c:pt>
                <c:pt idx="1">
                  <c:v>East</c:v>
                </c:pt>
                <c:pt idx="2">
                  <c:v>South</c:v>
                </c:pt>
                <c:pt idx="3">
                  <c:v>West</c:v>
                </c:pt>
              </c:strCache>
            </c:strRef>
          </c:cat>
          <c:val>
            <c:numRef>
              <c:f>Pivot_Tables!$B$4:$B$8</c:f>
              <c:numCache>
                <c:formatCode>General</c:formatCode>
                <c:ptCount val="4"/>
                <c:pt idx="0">
                  <c:v>4877.7361999999994</c:v>
                </c:pt>
                <c:pt idx="1">
                  <c:v>5269.0520000000006</c:v>
                </c:pt>
                <c:pt idx="2">
                  <c:v>3890.4974999999999</c:v>
                </c:pt>
                <c:pt idx="3">
                  <c:v>7402.6219999999976</c:v>
                </c:pt>
              </c:numCache>
            </c:numRef>
          </c:val>
          <c:extLst>
            <c:ext xmlns:c16="http://schemas.microsoft.com/office/drawing/2014/chart" uri="{C3380CC4-5D6E-409C-BE32-E72D297353CC}">
              <c16:uniqueId val="{00000000-FEEB-4F3A-BF45-8CD24C3E337D}"/>
            </c:ext>
          </c:extLst>
        </c:ser>
        <c:dLbls>
          <c:dLblPos val="inEnd"/>
          <c:showLegendKey val="0"/>
          <c:showVal val="1"/>
          <c:showCatName val="0"/>
          <c:showSerName val="0"/>
          <c:showPercent val="0"/>
          <c:showBubbleSize val="0"/>
        </c:dLbls>
        <c:gapWidth val="65"/>
        <c:axId val="1122215023"/>
        <c:axId val="1122198703"/>
      </c:barChart>
      <c:catAx>
        <c:axId val="11222150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2198703"/>
        <c:crosses val="autoZero"/>
        <c:auto val="1"/>
        <c:lblAlgn val="ctr"/>
        <c:lblOffset val="100"/>
        <c:noMultiLvlLbl val="0"/>
      </c:catAx>
      <c:valAx>
        <c:axId val="11221987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22150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[superstore_100rows.xlsx]Pivot_Tables!PivotTable4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Sum of Sales</c:v>
                </c:pt>
              </c:strCache>
            </c:strRef>
          </c:tx>
          <c:spPr>
            <a:solidFill>
              <a:schemeClr val="accent1"/>
            </a:solidFill>
            <a:ln>
              <a:noFill/>
            </a:ln>
            <a:effectLst/>
          </c:spPr>
          <c:invertIfNegative val="0"/>
          <c:cat>
            <c:strRef>
              <c:f>Pivot_Tables!$D$4:$D$18</c:f>
              <c:strCache>
                <c:ptCount val="14"/>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Tables</c:v>
                </c:pt>
              </c:strCache>
            </c:strRef>
          </c:cat>
          <c:val>
            <c:numRef>
              <c:f>Pivot_Tables!$E$4:$E$18</c:f>
              <c:numCache>
                <c:formatCode>General</c:formatCode>
                <c:ptCount val="14"/>
                <c:pt idx="0">
                  <c:v>245.51999999999998</c:v>
                </c:pt>
                <c:pt idx="1">
                  <c:v>530.09</c:v>
                </c:pt>
                <c:pt idx="2">
                  <c:v>1287.068</c:v>
                </c:pt>
                <c:pt idx="3">
                  <c:v>722.41000000000008</c:v>
                </c:pt>
                <c:pt idx="4">
                  <c:v>3877.7891999999997</c:v>
                </c:pt>
                <c:pt idx="5">
                  <c:v>2771.7809999999999</c:v>
                </c:pt>
                <c:pt idx="6">
                  <c:v>317.57600000000002</c:v>
                </c:pt>
                <c:pt idx="7">
                  <c:v>15.26</c:v>
                </c:pt>
                <c:pt idx="8">
                  <c:v>725.81799999999998</c:v>
                </c:pt>
                <c:pt idx="9">
                  <c:v>95.960000000000008</c:v>
                </c:pt>
                <c:pt idx="10">
                  <c:v>353.084</c:v>
                </c:pt>
                <c:pt idx="11">
                  <c:v>4941.2380000000003</c:v>
                </c:pt>
                <c:pt idx="12">
                  <c:v>1847.922</c:v>
                </c:pt>
                <c:pt idx="13">
                  <c:v>3708.3915000000002</c:v>
                </c:pt>
              </c:numCache>
            </c:numRef>
          </c:val>
          <c:extLst>
            <c:ext xmlns:c16="http://schemas.microsoft.com/office/drawing/2014/chart" uri="{C3380CC4-5D6E-409C-BE32-E72D297353CC}">
              <c16:uniqueId val="{00000000-120F-466E-9D8A-DDB2EBDEC5E4}"/>
            </c:ext>
          </c:extLst>
        </c:ser>
        <c:ser>
          <c:idx val="1"/>
          <c:order val="1"/>
          <c:tx>
            <c:strRef>
              <c:f>Pivot_Tables!$F$3</c:f>
              <c:strCache>
                <c:ptCount val="1"/>
                <c:pt idx="0">
                  <c:v>Sum of Profit</c:v>
                </c:pt>
              </c:strCache>
            </c:strRef>
          </c:tx>
          <c:spPr>
            <a:solidFill>
              <a:schemeClr val="accent2"/>
            </a:solidFill>
            <a:ln>
              <a:noFill/>
            </a:ln>
            <a:effectLst/>
          </c:spPr>
          <c:invertIfNegative val="0"/>
          <c:cat>
            <c:strRef>
              <c:f>Pivot_Tables!$D$4:$D$18</c:f>
              <c:strCache>
                <c:ptCount val="14"/>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Tables</c:v>
                </c:pt>
              </c:strCache>
            </c:strRef>
          </c:cat>
          <c:val>
            <c:numRef>
              <c:f>Pivot_Tables!$F$4:$F$18</c:f>
              <c:numCache>
                <c:formatCode>General</c:formatCode>
                <c:ptCount val="14"/>
                <c:pt idx="0">
                  <c:v>52.743299999999998</c:v>
                </c:pt>
                <c:pt idx="1">
                  <c:v>5.0887999999999991</c:v>
                </c:pt>
                <c:pt idx="2">
                  <c:v>145.71020000000001</c:v>
                </c:pt>
                <c:pt idx="3">
                  <c:v>223.44309999999996</c:v>
                </c:pt>
                <c:pt idx="4">
                  <c:v>-1670.115</c:v>
                </c:pt>
                <c:pt idx="5">
                  <c:v>131.21340000000001</c:v>
                </c:pt>
                <c:pt idx="6">
                  <c:v>99.324099999999987</c:v>
                </c:pt>
                <c:pt idx="7">
                  <c:v>6.2565999999999997</c:v>
                </c:pt>
                <c:pt idx="8">
                  <c:v>-54.987799999999986</c:v>
                </c:pt>
                <c:pt idx="9">
                  <c:v>45.162800000000004</c:v>
                </c:pt>
                <c:pt idx="10">
                  <c:v>160.65170000000001</c:v>
                </c:pt>
                <c:pt idx="11">
                  <c:v>732.9251999999999</c:v>
                </c:pt>
                <c:pt idx="12">
                  <c:v>55.531400000000005</c:v>
                </c:pt>
                <c:pt idx="13">
                  <c:v>-57.456900000000019</c:v>
                </c:pt>
              </c:numCache>
            </c:numRef>
          </c:val>
          <c:extLst>
            <c:ext xmlns:c16="http://schemas.microsoft.com/office/drawing/2014/chart" uri="{C3380CC4-5D6E-409C-BE32-E72D297353CC}">
              <c16:uniqueId val="{00000001-120F-466E-9D8A-DDB2EBDEC5E4}"/>
            </c:ext>
          </c:extLst>
        </c:ser>
        <c:dLbls>
          <c:showLegendKey val="0"/>
          <c:showVal val="0"/>
          <c:showCatName val="0"/>
          <c:showSerName val="0"/>
          <c:showPercent val="0"/>
          <c:showBubbleSize val="0"/>
        </c:dLbls>
        <c:gapWidth val="219"/>
        <c:overlap val="-27"/>
        <c:axId val="2103943023"/>
        <c:axId val="2103931503"/>
      </c:barChart>
      <c:catAx>
        <c:axId val="210394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931503"/>
        <c:crosses val="autoZero"/>
        <c:auto val="1"/>
        <c:lblAlgn val="ctr"/>
        <c:lblOffset val="100"/>
        <c:noMultiLvlLbl val="0"/>
      </c:catAx>
      <c:valAx>
        <c:axId val="210393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94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307800</xdr:colOff>
      <xdr:row>11</xdr:row>
      <xdr:rowOff>115455</xdr:rowOff>
    </xdr:from>
    <xdr:to>
      <xdr:col>15</xdr:col>
      <xdr:colOff>23091</xdr:colOff>
      <xdr:row>24</xdr:row>
      <xdr:rowOff>2</xdr:rowOff>
    </xdr:to>
    <xdr:graphicFrame macro="">
      <xdr:nvGraphicFramePr>
        <xdr:cNvPr id="3" name="Chart 2">
          <a:extLst>
            <a:ext uri="{FF2B5EF4-FFF2-40B4-BE49-F238E27FC236}">
              <a16:creationId xmlns:a16="http://schemas.microsoft.com/office/drawing/2014/main" id="{96DC0EBF-EFCD-4DDE-861F-E08BA3574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184726</xdr:colOff>
      <xdr:row>7</xdr:row>
      <xdr:rowOff>38484</xdr:rowOff>
    </xdr:from>
    <xdr:to>
      <xdr:col>20</xdr:col>
      <xdr:colOff>200120</xdr:colOff>
      <xdr:row>23</xdr:row>
      <xdr:rowOff>169332</xdr:rowOff>
    </xdr:to>
    <xdr:graphicFrame macro="">
      <xdr:nvGraphicFramePr>
        <xdr:cNvPr id="4" name="Chart 3">
          <a:extLst>
            <a:ext uri="{FF2B5EF4-FFF2-40B4-BE49-F238E27FC236}">
              <a16:creationId xmlns:a16="http://schemas.microsoft.com/office/drawing/2014/main" id="{E5500681-298A-4EEE-9D0B-F74577101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46182</xdr:rowOff>
    </xdr:from>
    <xdr:to>
      <xdr:col>7</xdr:col>
      <xdr:colOff>200121</xdr:colOff>
      <xdr:row>24</xdr:row>
      <xdr:rowOff>7697</xdr:rowOff>
    </xdr:to>
    <xdr:graphicFrame macro="">
      <xdr:nvGraphicFramePr>
        <xdr:cNvPr id="5" name="Chart 4">
          <a:extLst>
            <a:ext uri="{FF2B5EF4-FFF2-40B4-BE49-F238E27FC236}">
              <a16:creationId xmlns:a16="http://schemas.microsoft.com/office/drawing/2014/main" id="{4977D9AC-DEEF-4FA7-A5A2-C4AA41F0F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30787</xdr:colOff>
      <xdr:row>1</xdr:row>
      <xdr:rowOff>123151</xdr:rowOff>
    </xdr:from>
    <xdr:to>
      <xdr:col>1</xdr:col>
      <xdr:colOff>315576</xdr:colOff>
      <xdr:row>6</xdr:row>
      <xdr:rowOff>161637</xdr:rowOff>
    </xdr:to>
    <xdr:sp macro="" textlink="">
      <xdr:nvSpPr>
        <xdr:cNvPr id="13" name="Rectangle: Rounded Corners 12">
          <a:extLst>
            <a:ext uri="{FF2B5EF4-FFF2-40B4-BE49-F238E27FC236}">
              <a16:creationId xmlns:a16="http://schemas.microsoft.com/office/drawing/2014/main" id="{53959919-27E8-4AEA-B7DC-D069578E43BA}"/>
            </a:ext>
          </a:extLst>
        </xdr:cNvPr>
        <xdr:cNvSpPr/>
      </xdr:nvSpPr>
      <xdr:spPr>
        <a:xfrm>
          <a:off x="30787" y="354060"/>
          <a:ext cx="1216122" cy="962122"/>
        </a:xfrm>
        <a:prstGeom prst="roundRect">
          <a:avLst>
            <a:gd name="adj" fmla="val 2171"/>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423333</xdr:colOff>
      <xdr:row>1</xdr:row>
      <xdr:rowOff>146242</xdr:rowOff>
    </xdr:from>
    <xdr:to>
      <xdr:col>4</xdr:col>
      <xdr:colOff>169334</xdr:colOff>
      <xdr:row>6</xdr:row>
      <xdr:rowOff>138545</xdr:rowOff>
    </xdr:to>
    <xdr:sp macro="" textlink="">
      <xdr:nvSpPr>
        <xdr:cNvPr id="14" name="Rectangle: Rounded Corners 13">
          <a:extLst>
            <a:ext uri="{FF2B5EF4-FFF2-40B4-BE49-F238E27FC236}">
              <a16:creationId xmlns:a16="http://schemas.microsoft.com/office/drawing/2014/main" id="{4204A197-8E32-4229-AD85-B82A247DB241}"/>
            </a:ext>
          </a:extLst>
        </xdr:cNvPr>
        <xdr:cNvSpPr/>
      </xdr:nvSpPr>
      <xdr:spPr>
        <a:xfrm>
          <a:off x="1354666" y="377151"/>
          <a:ext cx="1793395" cy="915939"/>
        </a:xfrm>
        <a:prstGeom prst="roundRect">
          <a:avLst>
            <a:gd name="adj" fmla="val 0"/>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100059</xdr:colOff>
      <xdr:row>3</xdr:row>
      <xdr:rowOff>15391</xdr:rowOff>
    </xdr:from>
    <xdr:to>
      <xdr:col>1</xdr:col>
      <xdr:colOff>223210</xdr:colOff>
      <xdr:row>4</xdr:row>
      <xdr:rowOff>76965</xdr:rowOff>
    </xdr:to>
    <xdr:sp macro="" textlink="">
      <xdr:nvSpPr>
        <xdr:cNvPr id="18" name="TextBox 17">
          <a:extLst>
            <a:ext uri="{FF2B5EF4-FFF2-40B4-BE49-F238E27FC236}">
              <a16:creationId xmlns:a16="http://schemas.microsoft.com/office/drawing/2014/main" id="{CFF39092-DD4B-4647-87CF-63C546B6E044}"/>
            </a:ext>
          </a:extLst>
        </xdr:cNvPr>
        <xdr:cNvSpPr txBox="1"/>
      </xdr:nvSpPr>
      <xdr:spPr>
        <a:xfrm>
          <a:off x="100059" y="200118"/>
          <a:ext cx="1370060" cy="24630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tx1"/>
              </a:solidFill>
              <a:effectLst>
                <a:outerShdw blurRad="38100" dist="19050" dir="2700000" algn="tl" rotWithShape="0">
                  <a:schemeClr val="dk1">
                    <a:alpha val="40000"/>
                  </a:schemeClr>
                </a:outerShdw>
              </a:effectLst>
              <a:latin typeface="+mj-lt"/>
            </a:rPr>
            <a:t>Total</a:t>
          </a:r>
          <a:r>
            <a:rPr lang="en-IN" sz="1400" b="1" cap="none" spc="0" baseline="0">
              <a:ln w="0"/>
              <a:solidFill>
                <a:schemeClr val="tx1"/>
              </a:solidFill>
              <a:effectLst>
                <a:outerShdw blurRad="38100" dist="19050" dir="2700000" algn="tl" rotWithShape="0">
                  <a:schemeClr val="dk1">
                    <a:alpha val="40000"/>
                  </a:schemeClr>
                </a:outerShdw>
              </a:effectLst>
              <a:latin typeface="+mj-lt"/>
            </a:rPr>
            <a:t> sales</a:t>
          </a:r>
          <a:endParaRPr lang="en-IN" sz="1400" b="1" cap="none" spc="0">
            <a:ln w="0"/>
            <a:solidFill>
              <a:schemeClr val="tx1"/>
            </a:solidFill>
            <a:effectLst>
              <a:outerShdw blurRad="38100" dist="19050" dir="2700000" algn="tl" rotWithShape="0">
                <a:schemeClr val="dk1">
                  <a:alpha val="40000"/>
                </a:schemeClr>
              </a:outerShdw>
            </a:effectLst>
            <a:latin typeface="+mj-lt"/>
          </a:endParaRPr>
        </a:p>
      </xdr:txBody>
    </xdr:sp>
    <xdr:clientData/>
  </xdr:twoCellAnchor>
  <xdr:twoCellAnchor>
    <xdr:from>
      <xdr:col>0</xdr:col>
      <xdr:colOff>98521</xdr:colOff>
      <xdr:row>4</xdr:row>
      <xdr:rowOff>113910</xdr:rowOff>
    </xdr:from>
    <xdr:to>
      <xdr:col>1</xdr:col>
      <xdr:colOff>221672</xdr:colOff>
      <xdr:row>5</xdr:row>
      <xdr:rowOff>175487</xdr:rowOff>
    </xdr:to>
    <xdr:sp macro="" textlink="$B$9">
      <xdr:nvSpPr>
        <xdr:cNvPr id="19" name="TextBox 18">
          <a:extLst>
            <a:ext uri="{FF2B5EF4-FFF2-40B4-BE49-F238E27FC236}">
              <a16:creationId xmlns:a16="http://schemas.microsoft.com/office/drawing/2014/main" id="{676F3D4C-DED8-4DC0-AC43-6B8CAAB4A792}"/>
            </a:ext>
          </a:extLst>
        </xdr:cNvPr>
        <xdr:cNvSpPr txBox="1"/>
      </xdr:nvSpPr>
      <xdr:spPr>
        <a:xfrm>
          <a:off x="98521" y="483365"/>
          <a:ext cx="1370060" cy="246304"/>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0289BC-CE2D-472F-AE35-DBF6A84DAD88}" type="TxLink">
            <a:rPr lang="en-US" sz="1200" b="1" i="0" u="none" strike="noStrike">
              <a:solidFill>
                <a:srgbClr val="000000"/>
              </a:solidFill>
              <a:latin typeface="Aptos Narrow"/>
            </a:rPr>
            <a:t>21439.9077</a:t>
          </a:fld>
          <a:endParaRPr lang="en-IN" sz="1100" b="1"/>
        </a:p>
      </xdr:txBody>
    </xdr:sp>
    <xdr:clientData/>
  </xdr:twoCellAnchor>
  <xdr:oneCellAnchor>
    <xdr:from>
      <xdr:col>1</xdr:col>
      <xdr:colOff>538788</xdr:colOff>
      <xdr:row>2</xdr:row>
      <xdr:rowOff>161636</xdr:rowOff>
    </xdr:from>
    <xdr:ext cx="1547091" cy="238606"/>
    <xdr:sp macro="" textlink="">
      <xdr:nvSpPr>
        <xdr:cNvPr id="21" name="TextBox 20">
          <a:extLst>
            <a:ext uri="{FF2B5EF4-FFF2-40B4-BE49-F238E27FC236}">
              <a16:creationId xmlns:a16="http://schemas.microsoft.com/office/drawing/2014/main" id="{9CBABAE0-63C5-90EC-CED1-D0EAA409477C}"/>
            </a:ext>
          </a:extLst>
        </xdr:cNvPr>
        <xdr:cNvSpPr txBox="1"/>
      </xdr:nvSpPr>
      <xdr:spPr>
        <a:xfrm>
          <a:off x="1470121" y="161636"/>
          <a:ext cx="1547091" cy="23860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cap="none" spc="0">
              <a:ln w="0"/>
              <a:solidFill>
                <a:schemeClr val="tx1"/>
              </a:solidFill>
              <a:effectLst>
                <a:outerShdw blurRad="38100" dist="19050" dir="2700000" algn="tl" rotWithShape="0">
                  <a:schemeClr val="dk1">
                    <a:alpha val="40000"/>
                  </a:schemeClr>
                </a:outerShdw>
              </a:effectLst>
              <a:latin typeface="+mj-lt"/>
            </a:rPr>
            <a:t>Total </a:t>
          </a:r>
          <a:r>
            <a:rPr lang="en-IN" sz="1200" b="1" cap="none" spc="0">
              <a:ln w="0"/>
              <a:solidFill>
                <a:schemeClr val="tx1"/>
              </a:solidFill>
              <a:effectLst>
                <a:outerShdw blurRad="38100" dist="19050" dir="2700000" algn="tl" rotWithShape="0">
                  <a:schemeClr val="dk1">
                    <a:alpha val="40000"/>
                  </a:schemeClr>
                </a:outerShdw>
              </a:effectLst>
              <a:latin typeface="+mj-lt"/>
            </a:rPr>
            <a:t>Profit</a:t>
          </a:r>
          <a:endParaRPr lang="en-IN" sz="1400" b="1"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1</xdr:col>
      <xdr:colOff>523393</xdr:colOff>
      <xdr:row>4</xdr:row>
      <xdr:rowOff>69271</xdr:rowOff>
    </xdr:from>
    <xdr:ext cx="1539395" cy="307879"/>
    <xdr:sp macro="" textlink="$B$10">
      <xdr:nvSpPr>
        <xdr:cNvPr id="22" name="TextBox 21">
          <a:extLst>
            <a:ext uri="{FF2B5EF4-FFF2-40B4-BE49-F238E27FC236}">
              <a16:creationId xmlns:a16="http://schemas.microsoft.com/office/drawing/2014/main" id="{8B965007-7D86-4C79-9C7D-E456A40EEB95}"/>
            </a:ext>
          </a:extLst>
        </xdr:cNvPr>
        <xdr:cNvSpPr txBox="1"/>
      </xdr:nvSpPr>
      <xdr:spPr>
        <a:xfrm>
          <a:off x="1454726" y="438726"/>
          <a:ext cx="1539395" cy="307879"/>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8A168A9-80D8-40E9-9BBC-89D734DFE680}" type="TxLink">
            <a:rPr lang="en-US" sz="1400" b="0" i="0" u="none" strike="noStrike">
              <a:solidFill>
                <a:srgbClr val="000000"/>
              </a:solidFill>
              <a:latin typeface="Aptos Narrow"/>
            </a:rPr>
            <a:pPr algn="ctr"/>
            <a:t>-124.5091</a:t>
          </a:fld>
          <a:endParaRPr lang="en-IN" sz="1200"/>
        </a:p>
      </xdr:txBody>
    </xdr:sp>
    <xdr:clientData/>
  </xdr:oneCellAnchor>
  <xdr:twoCellAnchor>
    <xdr:from>
      <xdr:col>2</xdr:col>
      <xdr:colOff>30788</xdr:colOff>
      <xdr:row>7</xdr:row>
      <xdr:rowOff>0</xdr:rowOff>
    </xdr:from>
    <xdr:to>
      <xdr:col>4</xdr:col>
      <xdr:colOff>138547</xdr:colOff>
      <xdr:row>11</xdr:row>
      <xdr:rowOff>0</xdr:rowOff>
    </xdr:to>
    <xdr:sp macro="" textlink="">
      <xdr:nvSpPr>
        <xdr:cNvPr id="23" name="Rectangle: Rounded Corners 22">
          <a:extLst>
            <a:ext uri="{FF2B5EF4-FFF2-40B4-BE49-F238E27FC236}">
              <a16:creationId xmlns:a16="http://schemas.microsoft.com/office/drawing/2014/main" id="{DB39DBE2-E97A-4942-8A23-DC072D004F31}"/>
            </a:ext>
          </a:extLst>
        </xdr:cNvPr>
        <xdr:cNvSpPr/>
      </xdr:nvSpPr>
      <xdr:spPr>
        <a:xfrm>
          <a:off x="1793394" y="969818"/>
          <a:ext cx="1323880" cy="831273"/>
        </a:xfrm>
        <a:prstGeom prst="roundRect">
          <a:avLst>
            <a:gd name="adj" fmla="val 6603"/>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2</xdr:col>
      <xdr:colOff>92363</xdr:colOff>
      <xdr:row>8</xdr:row>
      <xdr:rowOff>0</xdr:rowOff>
    </xdr:from>
    <xdr:ext cx="1223819" cy="234107"/>
    <xdr:sp macro="" textlink="">
      <xdr:nvSpPr>
        <xdr:cNvPr id="25" name="TextBox 24">
          <a:extLst>
            <a:ext uri="{FF2B5EF4-FFF2-40B4-BE49-F238E27FC236}">
              <a16:creationId xmlns:a16="http://schemas.microsoft.com/office/drawing/2014/main" id="{8C1908C4-AD65-4C2A-B14E-0048AFD36252}"/>
            </a:ext>
          </a:extLst>
        </xdr:cNvPr>
        <xdr:cNvSpPr txBox="1"/>
      </xdr:nvSpPr>
      <xdr:spPr>
        <a:xfrm>
          <a:off x="1854969" y="1169939"/>
          <a:ext cx="1223819" cy="234107"/>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cap="none" spc="0">
              <a:ln w="0"/>
              <a:solidFill>
                <a:schemeClr val="tx1"/>
              </a:solidFill>
              <a:effectLst>
                <a:outerShdw blurRad="38100" dist="19050" dir="2700000" algn="tl" rotWithShape="0">
                  <a:schemeClr val="dk1">
                    <a:alpha val="40000"/>
                  </a:schemeClr>
                </a:outerShdw>
              </a:effectLst>
              <a:latin typeface="+mj-lt"/>
            </a:rPr>
            <a:t>Total </a:t>
          </a:r>
          <a:r>
            <a:rPr lang="en-IN" sz="1200" b="1" cap="none" spc="0">
              <a:ln w="0"/>
              <a:solidFill>
                <a:schemeClr val="tx1"/>
              </a:solidFill>
              <a:effectLst>
                <a:outerShdw blurRad="38100" dist="19050" dir="2700000" algn="tl" rotWithShape="0">
                  <a:schemeClr val="dk1">
                    <a:alpha val="40000"/>
                  </a:schemeClr>
                </a:outerShdw>
              </a:effectLst>
              <a:latin typeface="+mj-lt"/>
            </a:rPr>
            <a:t>Quantity</a:t>
          </a:r>
          <a:endParaRPr lang="en-IN" sz="1400" b="1"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2</xdr:col>
      <xdr:colOff>84667</xdr:colOff>
      <xdr:row>9</xdr:row>
      <xdr:rowOff>76969</xdr:rowOff>
    </xdr:from>
    <xdr:ext cx="1246910" cy="246305"/>
    <xdr:sp macro="" textlink="$B$11">
      <xdr:nvSpPr>
        <xdr:cNvPr id="26" name="TextBox 25">
          <a:extLst>
            <a:ext uri="{FF2B5EF4-FFF2-40B4-BE49-F238E27FC236}">
              <a16:creationId xmlns:a16="http://schemas.microsoft.com/office/drawing/2014/main" id="{14BB67C0-A5C7-4255-A0BF-777012EEE0B8}"/>
            </a:ext>
          </a:extLst>
        </xdr:cNvPr>
        <xdr:cNvSpPr txBox="1"/>
      </xdr:nvSpPr>
      <xdr:spPr>
        <a:xfrm>
          <a:off x="1847273" y="1447030"/>
          <a:ext cx="1246910" cy="24630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DED2CF3-625A-432B-BBF0-ECCEC95244D7}" type="TxLink">
            <a:rPr lang="en-US" sz="1200" b="0" i="0" u="none" strike="noStrike">
              <a:solidFill>
                <a:srgbClr val="000000"/>
              </a:solidFill>
              <a:latin typeface="Aptos Narrow"/>
            </a:rPr>
            <a:t>367</a:t>
          </a:fld>
          <a:endParaRPr lang="en-IN" sz="1200"/>
        </a:p>
      </xdr:txBody>
    </xdr:sp>
    <xdr:clientData/>
  </xdr:oneCellAnchor>
  <xdr:twoCellAnchor>
    <xdr:from>
      <xdr:col>4</xdr:col>
      <xdr:colOff>400243</xdr:colOff>
      <xdr:row>1</xdr:row>
      <xdr:rowOff>161635</xdr:rowOff>
    </xdr:from>
    <xdr:to>
      <xdr:col>8</xdr:col>
      <xdr:colOff>346363</xdr:colOff>
      <xdr:row>10</xdr:row>
      <xdr:rowOff>153939</xdr:rowOff>
    </xdr:to>
    <xdr:sp macro="" textlink="">
      <xdr:nvSpPr>
        <xdr:cNvPr id="27" name="TextBox 26">
          <a:extLst>
            <a:ext uri="{FF2B5EF4-FFF2-40B4-BE49-F238E27FC236}">
              <a16:creationId xmlns:a16="http://schemas.microsoft.com/office/drawing/2014/main" id="{497579FE-DF4A-B7C6-7F19-5E936F206E76}"/>
            </a:ext>
          </a:extLst>
        </xdr:cNvPr>
        <xdr:cNvSpPr txBox="1"/>
      </xdr:nvSpPr>
      <xdr:spPr>
        <a:xfrm>
          <a:off x="3378970" y="392544"/>
          <a:ext cx="2378363" cy="1747213"/>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Arial Black" panose="020B0A04020102020204" pitchFamily="34" charset="0"/>
              <a:ea typeface="+mn-ea"/>
              <a:cs typeface="+mn-cs"/>
            </a:rPr>
            <a:t>Key Insights:</a:t>
          </a:r>
        </a:p>
        <a:p>
          <a:pPr marL="0" marR="0" lvl="0" indent="0" defTabSz="914400" eaLnBrk="1" fontAlgn="auto" latinLnBrk="0" hangingPunct="1">
            <a:lnSpc>
              <a:spcPct val="100000"/>
            </a:lnSpc>
            <a:spcBef>
              <a:spcPts val="0"/>
            </a:spcBef>
            <a:spcAft>
              <a:spcPts val="0"/>
            </a:spcAft>
            <a:buClrTx/>
            <a:buSzTx/>
            <a:buFontTx/>
            <a:buNone/>
            <a:tabLst/>
            <a:defRPr/>
          </a:pPr>
          <a:br>
            <a:rPr lang="en-IN" sz="1100">
              <a:solidFill>
                <a:schemeClr val="dk1"/>
              </a:solidFill>
              <a:effectLst/>
              <a:latin typeface="+mn-lt"/>
              <a:ea typeface="+mn-ea"/>
              <a:cs typeface="+mn-cs"/>
            </a:rPr>
          </a:br>
          <a:r>
            <a:rPr lang="en-IN" sz="1100" b="1">
              <a:solidFill>
                <a:schemeClr val="dk1"/>
              </a:solidFill>
              <a:effectLst/>
              <a:latin typeface="Aptos" panose="020B0004020202020204" pitchFamily="34" charset="0"/>
              <a:ea typeface="+mn-ea"/>
              <a:cs typeface="+mn-cs"/>
            </a:rPr>
            <a:t>• West region generated highest sales</a:t>
          </a:r>
          <a:br>
            <a:rPr lang="en-IN" sz="1100" b="1">
              <a:solidFill>
                <a:schemeClr val="dk1"/>
              </a:solidFill>
              <a:effectLst/>
              <a:latin typeface="Aptos" panose="020B0004020202020204" pitchFamily="34" charset="0"/>
              <a:ea typeface="+mn-ea"/>
              <a:cs typeface="+mn-cs"/>
            </a:rPr>
          </a:br>
          <a:r>
            <a:rPr lang="en-IN" sz="1100" b="1">
              <a:solidFill>
                <a:schemeClr val="dk1"/>
              </a:solidFill>
              <a:effectLst/>
              <a:latin typeface="Aptos" panose="020B0004020202020204" pitchFamily="34" charset="0"/>
              <a:ea typeface="+mn-ea"/>
              <a:cs typeface="+mn-cs"/>
            </a:rPr>
            <a:t>• Technology category gave highest profit</a:t>
          </a:r>
          <a:br>
            <a:rPr lang="en-IN" sz="1100" b="1">
              <a:solidFill>
                <a:schemeClr val="dk1"/>
              </a:solidFill>
              <a:effectLst/>
              <a:latin typeface="Aptos" panose="020B0004020202020204" pitchFamily="34" charset="0"/>
              <a:ea typeface="+mn-ea"/>
              <a:cs typeface="+mn-cs"/>
            </a:rPr>
          </a:br>
          <a:r>
            <a:rPr lang="en-IN" sz="1100" b="1">
              <a:solidFill>
                <a:schemeClr val="dk1"/>
              </a:solidFill>
              <a:effectLst/>
              <a:latin typeface="Aptos" panose="020B0004020202020204" pitchFamily="34" charset="0"/>
              <a:ea typeface="+mn-ea"/>
              <a:cs typeface="+mn-cs"/>
            </a:rPr>
            <a:t>• Discounts reduced profit in some sub-categories</a:t>
          </a:r>
        </a:p>
        <a:p>
          <a:endParaRPr lang="en-IN" sz="1100"/>
        </a:p>
      </xdr:txBody>
    </xdr:sp>
    <xdr:clientData/>
  </xdr:twoCellAnchor>
  <xdr:twoCellAnchor editAs="absolute">
    <xdr:from>
      <xdr:col>14</xdr:col>
      <xdr:colOff>415635</xdr:colOff>
      <xdr:row>2</xdr:row>
      <xdr:rowOff>30789</xdr:rowOff>
    </xdr:from>
    <xdr:to>
      <xdr:col>19</xdr:col>
      <xdr:colOff>130846</xdr:colOff>
      <xdr:row>5</xdr:row>
      <xdr:rowOff>100061</xdr:rowOff>
    </xdr:to>
    <mc:AlternateContent xmlns:mc="http://schemas.openxmlformats.org/markup-compatibility/2006">
      <mc:Choice xmlns:sle15="http://schemas.microsoft.com/office/drawing/2012/slicer" Requires="sle15">
        <xdr:graphicFrame macro="">
          <xdr:nvGraphicFramePr>
            <xdr:cNvPr id="28" name="Segment 1">
              <a:extLst>
                <a:ext uri="{FF2B5EF4-FFF2-40B4-BE49-F238E27FC236}">
                  <a16:creationId xmlns:a16="http://schemas.microsoft.com/office/drawing/2014/main" id="{99722056-8DA3-4310-908F-B4A7F353D93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474968" y="446425"/>
              <a:ext cx="3679151" cy="62345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407940</xdr:colOff>
      <xdr:row>2</xdr:row>
      <xdr:rowOff>61576</xdr:rowOff>
    </xdr:from>
    <xdr:to>
      <xdr:col>14</xdr:col>
      <xdr:colOff>315577</xdr:colOff>
      <xdr:row>5</xdr:row>
      <xdr:rowOff>124615</xdr:rowOff>
    </xdr:to>
    <mc:AlternateContent xmlns:mc="http://schemas.openxmlformats.org/markup-compatibility/2006">
      <mc:Choice xmlns:sle15="http://schemas.microsoft.com/office/drawing/2012/slicer" Requires="sle15">
        <xdr:graphicFrame macro="">
          <xdr:nvGraphicFramePr>
            <xdr:cNvPr id="29" name="Region 1">
              <a:extLst>
                <a:ext uri="{FF2B5EF4-FFF2-40B4-BE49-F238E27FC236}">
                  <a16:creationId xmlns:a16="http://schemas.microsoft.com/office/drawing/2014/main" id="{948B55BA-A597-4916-864D-94E3EE68D8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818910" y="477212"/>
              <a:ext cx="3556000" cy="61722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423333</xdr:colOff>
      <xdr:row>6</xdr:row>
      <xdr:rowOff>7697</xdr:rowOff>
    </xdr:from>
    <xdr:to>
      <xdr:col>14</xdr:col>
      <xdr:colOff>315575</xdr:colOff>
      <xdr:row>8</xdr:row>
      <xdr:rowOff>193886</xdr:rowOff>
    </xdr:to>
    <mc:AlternateContent xmlns:mc="http://schemas.openxmlformats.org/markup-compatibility/2006">
      <mc:Choice xmlns:sle15="http://schemas.microsoft.com/office/drawing/2012/slicer" Requires="sle15">
        <xdr:graphicFrame macro="">
          <xdr:nvGraphicFramePr>
            <xdr:cNvPr id="30" name="Category 1">
              <a:extLst>
                <a:ext uri="{FF2B5EF4-FFF2-40B4-BE49-F238E27FC236}">
                  <a16:creationId xmlns:a16="http://schemas.microsoft.com/office/drawing/2014/main" id="{12BACBDF-CE34-4BF8-850C-231A007086C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834303" y="1162242"/>
              <a:ext cx="3540605" cy="6172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46181</xdr:colOff>
      <xdr:row>26</xdr:row>
      <xdr:rowOff>53877</xdr:rowOff>
    </xdr:from>
    <xdr:to>
      <xdr:col>7</xdr:col>
      <xdr:colOff>554182</xdr:colOff>
      <xdr:row>39</xdr:row>
      <xdr:rowOff>30788</xdr:rowOff>
    </xdr:to>
    <xdr:graphicFrame macro="">
      <xdr:nvGraphicFramePr>
        <xdr:cNvPr id="31" name="Chart 30">
          <a:extLst>
            <a:ext uri="{FF2B5EF4-FFF2-40B4-BE49-F238E27FC236}">
              <a16:creationId xmlns:a16="http://schemas.microsoft.com/office/drawing/2014/main" id="{B06E3F4D-5235-43EE-B6A9-2BC094358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gi" refreshedDate="46179.845762152778" createdVersion="8" refreshedVersion="8" minRefreshableVersion="3" recordCount="99" xr:uid="{785006A3-F550-40EC-B0BA-7B3F9FAE4DBA}">
  <cacheSource type="worksheet">
    <worksheetSource name="Table1"/>
  </cacheSource>
  <cacheFields count="15">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22">
        <s v="Kentucky"/>
        <s v="California"/>
        <s v="Florida"/>
        <s v="North Carolina"/>
        <s v="Washington"/>
        <s v="Texas"/>
        <s v="Wisconsin"/>
        <s v="Utah"/>
        <s v="Nebraska"/>
        <s v="Pennsylvania"/>
        <s v="Illinois"/>
        <s v="Minnesota"/>
        <s v="Michigan"/>
        <s v="Delaware"/>
        <s v="Indiana"/>
        <s v="New York"/>
        <s v="Arizona"/>
        <s v="Virginia"/>
        <s v="Tennessee"/>
        <s v="Alabama"/>
        <s v="South Carolina"/>
        <s v="Oregon"/>
      </sharedItems>
    </cacheField>
    <cacheField name="Postal Code" numFmtId="0">
      <sharedItems containsSemiMixedTypes="0" containsString="0" containsNumber="1" containsInteger="1" minValue="10009" maxValue="98103"/>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4">
        <s v="Bookcases"/>
        <s v="Chairs"/>
        <s v="Labels"/>
        <s v="Tables"/>
        <s v="Storage"/>
        <s v="Furnishings"/>
        <s v="Art"/>
        <s v="Phones"/>
        <s v="Binders"/>
        <s v="Appliances"/>
        <s v="Paper"/>
        <s v="Accessories"/>
        <s v="Envelopes"/>
        <s v="Fasteners"/>
      </sharedItems>
    </cacheField>
    <cacheField name="Sales" numFmtId="0">
      <sharedItems containsSemiMixedTypes="0" containsString="0" containsNumber="1" minValue="1.248" maxValue="3083.43"/>
    </cacheField>
    <cacheField name="Quantity" numFmtId="0">
      <sharedItems containsSemiMixedTypes="0" containsString="0" containsNumber="1" containsInteger="1" minValue="1" maxValue="9"/>
    </cacheField>
    <cacheField name="Discount" numFmtId="9">
      <sharedItems containsSemiMixedTypes="0" containsString="0" containsNumber="1" minValue="0" maxValue="0.8"/>
    </cacheField>
    <cacheField name="Profit" numFmtId="0">
      <sharedItems containsSemiMixedTypes="0" containsString="0" containsNumber="1" minValue="-1665.0522000000001" maxValue="298.68549999999999"/>
    </cacheField>
    <cacheField name="Profit Margin %" numFmtId="9">
      <sharedItems containsSemiMixedTypes="0" containsString="0" containsNumber="1" minValue="-1.8" maxValue="0.5"/>
    </cacheField>
    <cacheField name="Sales Catego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Second Class"/>
    <x v="0"/>
    <s v="United States"/>
    <s v="Henderson"/>
    <x v="0"/>
    <n v="42420"/>
    <x v="0"/>
    <x v="0"/>
    <x v="0"/>
    <n v="261.95999999999998"/>
    <n v="2"/>
    <n v="0"/>
    <n v="41.913600000000002"/>
    <n v="0.16000000000000003"/>
    <s v="Low Sales"/>
  </r>
  <r>
    <s v="Second Class"/>
    <x v="0"/>
    <s v="United States"/>
    <s v="Henderson"/>
    <x v="0"/>
    <n v="42420"/>
    <x v="0"/>
    <x v="0"/>
    <x v="1"/>
    <n v="731.94"/>
    <n v="3"/>
    <n v="0"/>
    <n v="219.58199999999999"/>
    <n v="0.3"/>
    <s v="High Sales"/>
  </r>
  <r>
    <s v="Second Class"/>
    <x v="1"/>
    <s v="United States"/>
    <s v="Los Angeles"/>
    <x v="1"/>
    <n v="90036"/>
    <x v="1"/>
    <x v="1"/>
    <x v="2"/>
    <n v="14.62"/>
    <n v="2"/>
    <n v="0"/>
    <n v="6.8714000000000004"/>
    <n v="0.47000000000000003"/>
    <s v="Low Sales"/>
  </r>
  <r>
    <s v="Standard Class"/>
    <x v="0"/>
    <s v="United States"/>
    <s v="Fort Lauderdale"/>
    <x v="2"/>
    <n v="33311"/>
    <x v="0"/>
    <x v="0"/>
    <x v="3"/>
    <n v="957.57749999999999"/>
    <n v="5"/>
    <n v="0.45"/>
    <n v="-383.03100000000001"/>
    <n v="-0.4"/>
    <s v="High Sales"/>
  </r>
  <r>
    <s v="Standard Class"/>
    <x v="0"/>
    <s v="United States"/>
    <s v="Fort Lauderdale"/>
    <x v="2"/>
    <n v="33311"/>
    <x v="0"/>
    <x v="1"/>
    <x v="4"/>
    <n v="22.367999999999999"/>
    <n v="2"/>
    <n v="0.2"/>
    <n v="2.5164"/>
    <n v="0.1125"/>
    <s v="Low Sales"/>
  </r>
  <r>
    <s v="Standard Class"/>
    <x v="0"/>
    <s v="United States"/>
    <s v="Los Angeles"/>
    <x v="1"/>
    <n v="90032"/>
    <x v="1"/>
    <x v="0"/>
    <x v="5"/>
    <n v="48.86"/>
    <n v="7"/>
    <n v="0"/>
    <n v="14.1694"/>
    <n v="0.28999999999999998"/>
    <s v="Low Sales"/>
  </r>
  <r>
    <s v="Standard Class"/>
    <x v="0"/>
    <s v="United States"/>
    <s v="Los Angeles"/>
    <x v="1"/>
    <n v="90032"/>
    <x v="1"/>
    <x v="1"/>
    <x v="6"/>
    <n v="7.28"/>
    <n v="4"/>
    <n v="0"/>
    <n v="1.9656"/>
    <n v="0.27"/>
    <s v="Low Sales"/>
  </r>
  <r>
    <s v="Standard Class"/>
    <x v="0"/>
    <s v="United States"/>
    <s v="Los Angeles"/>
    <x v="1"/>
    <n v="90032"/>
    <x v="1"/>
    <x v="2"/>
    <x v="7"/>
    <n v="907.15200000000004"/>
    <n v="6"/>
    <n v="0.2"/>
    <n v="90.715199999999996"/>
    <n v="9.9999999999999992E-2"/>
    <s v="High Sales"/>
  </r>
  <r>
    <s v="Standard Class"/>
    <x v="0"/>
    <s v="United States"/>
    <s v="Los Angeles"/>
    <x v="1"/>
    <n v="90032"/>
    <x v="1"/>
    <x v="1"/>
    <x v="8"/>
    <n v="18.504000000000001"/>
    <n v="3"/>
    <n v="0.2"/>
    <n v="5.7824999999999998"/>
    <n v="0.31249999999999994"/>
    <s v="Low Sales"/>
  </r>
  <r>
    <s v="Standard Class"/>
    <x v="0"/>
    <s v="United States"/>
    <s v="Los Angeles"/>
    <x v="1"/>
    <n v="90032"/>
    <x v="1"/>
    <x v="1"/>
    <x v="9"/>
    <n v="114.9"/>
    <n v="5"/>
    <n v="0"/>
    <n v="34.47"/>
    <n v="0.3"/>
    <s v="Low Sales"/>
  </r>
  <r>
    <s v="Standard Class"/>
    <x v="0"/>
    <s v="United States"/>
    <s v="Los Angeles"/>
    <x v="1"/>
    <n v="90032"/>
    <x v="1"/>
    <x v="0"/>
    <x v="3"/>
    <n v="1706.184"/>
    <n v="9"/>
    <n v="0.2"/>
    <n v="85.309200000000004"/>
    <n v="0.05"/>
    <s v="High Sales"/>
  </r>
  <r>
    <s v="Standard Class"/>
    <x v="0"/>
    <s v="United States"/>
    <s v="Los Angeles"/>
    <x v="1"/>
    <n v="90032"/>
    <x v="1"/>
    <x v="2"/>
    <x v="7"/>
    <n v="911.42399999999998"/>
    <n v="4"/>
    <n v="0.2"/>
    <n v="68.356800000000007"/>
    <n v="7.5000000000000011E-2"/>
    <s v="High Sales"/>
  </r>
  <r>
    <s v="Standard Class"/>
    <x v="0"/>
    <s v="United States"/>
    <s v="Concord"/>
    <x v="3"/>
    <n v="28027"/>
    <x v="0"/>
    <x v="1"/>
    <x v="10"/>
    <n v="15.552"/>
    <n v="3"/>
    <n v="0.2"/>
    <n v="5.4432"/>
    <n v="0.35000000000000003"/>
    <s v="Low Sales"/>
  </r>
  <r>
    <s v="Standard Class"/>
    <x v="0"/>
    <s v="United States"/>
    <s v="Seattle"/>
    <x v="4"/>
    <n v="98103"/>
    <x v="1"/>
    <x v="1"/>
    <x v="8"/>
    <n v="407.976"/>
    <n v="3"/>
    <n v="0.2"/>
    <n v="132.59219999999999"/>
    <n v="0.32499999999999996"/>
    <s v="Low Sales"/>
  </r>
  <r>
    <s v="Standard Class"/>
    <x v="2"/>
    <s v="United States"/>
    <s v="Fort Worth"/>
    <x v="5"/>
    <n v="76106"/>
    <x v="2"/>
    <x v="1"/>
    <x v="9"/>
    <n v="68.81"/>
    <n v="5"/>
    <n v="0.8"/>
    <n v="-123.858"/>
    <n v="-1.8"/>
    <s v="Low Sales"/>
  </r>
  <r>
    <s v="Standard Class"/>
    <x v="2"/>
    <s v="United States"/>
    <s v="Fort Worth"/>
    <x v="5"/>
    <n v="76106"/>
    <x v="2"/>
    <x v="1"/>
    <x v="8"/>
    <n v="2.544"/>
    <n v="3"/>
    <n v="0.8"/>
    <n v="-3.8159999999999998"/>
    <n v="-1.5"/>
    <s v="Low Sales"/>
  </r>
  <r>
    <s v="Standard Class"/>
    <x v="0"/>
    <s v="United States"/>
    <s v="Madison"/>
    <x v="6"/>
    <n v="53711"/>
    <x v="2"/>
    <x v="1"/>
    <x v="4"/>
    <n v="665.88"/>
    <n v="6"/>
    <n v="0"/>
    <n v="13.317600000000001"/>
    <n v="0.02"/>
    <s v="High Sales"/>
  </r>
  <r>
    <s v="Second Class"/>
    <x v="0"/>
    <s v="United States"/>
    <s v="West Jordan"/>
    <x v="7"/>
    <n v="84084"/>
    <x v="1"/>
    <x v="1"/>
    <x v="4"/>
    <n v="55.5"/>
    <n v="2"/>
    <n v="0"/>
    <n v="9.99"/>
    <n v="0.18"/>
    <s v="Low Sales"/>
  </r>
  <r>
    <s v="Second Class"/>
    <x v="0"/>
    <s v="United States"/>
    <s v="San Francisco"/>
    <x v="1"/>
    <n v="94109"/>
    <x v="1"/>
    <x v="1"/>
    <x v="6"/>
    <n v="8.56"/>
    <n v="2"/>
    <n v="0"/>
    <n v="2.4824000000000002"/>
    <n v="0.28999999999999998"/>
    <s v="Low Sales"/>
  </r>
  <r>
    <s v="Second Class"/>
    <x v="0"/>
    <s v="United States"/>
    <s v="San Francisco"/>
    <x v="1"/>
    <n v="94109"/>
    <x v="1"/>
    <x v="2"/>
    <x v="7"/>
    <n v="213.48"/>
    <n v="3"/>
    <n v="0.2"/>
    <n v="16.010999999999999"/>
    <n v="7.4999999999999997E-2"/>
    <s v="Low Sales"/>
  </r>
  <r>
    <s v="Second Class"/>
    <x v="0"/>
    <s v="United States"/>
    <s v="San Francisco"/>
    <x v="1"/>
    <n v="94109"/>
    <x v="1"/>
    <x v="1"/>
    <x v="8"/>
    <n v="22.72"/>
    <n v="4"/>
    <n v="0.2"/>
    <n v="7.3840000000000003"/>
    <n v="0.32500000000000001"/>
    <s v="Low Sales"/>
  </r>
  <r>
    <s v="Standard Class"/>
    <x v="1"/>
    <s v="United States"/>
    <s v="Fremont"/>
    <x v="8"/>
    <n v="68025"/>
    <x v="2"/>
    <x v="1"/>
    <x v="6"/>
    <n v="19.46"/>
    <n v="7"/>
    <n v="0"/>
    <n v="5.0595999999999997"/>
    <n v="0.25999999999999995"/>
    <s v="Low Sales"/>
  </r>
  <r>
    <s v="Standard Class"/>
    <x v="1"/>
    <s v="United States"/>
    <s v="Fremont"/>
    <x v="8"/>
    <n v="68025"/>
    <x v="2"/>
    <x v="1"/>
    <x v="9"/>
    <n v="60.34"/>
    <n v="7"/>
    <n v="0"/>
    <n v="15.6884"/>
    <n v="0.25999999999999995"/>
    <s v="Low Sales"/>
  </r>
  <r>
    <s v="Second Class"/>
    <x v="0"/>
    <s v="United States"/>
    <s v="Philadelphia"/>
    <x v="9"/>
    <n v="19140"/>
    <x v="3"/>
    <x v="0"/>
    <x v="1"/>
    <n v="71.372"/>
    <n v="2"/>
    <n v="0.3"/>
    <n v="-1.0196000000000001"/>
    <n v="-1.4285714285714287E-2"/>
    <s v="Low Sales"/>
  </r>
  <r>
    <s v="Standard Class"/>
    <x v="0"/>
    <s v="United States"/>
    <s v="Orem"/>
    <x v="7"/>
    <n v="84057"/>
    <x v="1"/>
    <x v="0"/>
    <x v="3"/>
    <n v="1044.6300000000001"/>
    <n v="3"/>
    <n v="0"/>
    <n v="240.26490000000001"/>
    <n v="0.22999999999999998"/>
    <s v="High Sales"/>
  </r>
  <r>
    <s v="Second Class"/>
    <x v="0"/>
    <s v="United States"/>
    <s v="Los Angeles"/>
    <x v="1"/>
    <n v="90049"/>
    <x v="1"/>
    <x v="1"/>
    <x v="8"/>
    <n v="11.648"/>
    <n v="2"/>
    <n v="0.2"/>
    <n v="4.2224000000000004"/>
    <n v="0.36250000000000004"/>
    <s v="Low Sales"/>
  </r>
  <r>
    <s v="Second Class"/>
    <x v="0"/>
    <s v="United States"/>
    <s v="Los Angeles"/>
    <x v="1"/>
    <n v="90049"/>
    <x v="1"/>
    <x v="2"/>
    <x v="11"/>
    <n v="90.57"/>
    <n v="3"/>
    <n v="0"/>
    <n v="11.774100000000001"/>
    <n v="0.13"/>
    <s v="Low Sales"/>
  </r>
  <r>
    <s v="Standard Class"/>
    <x v="0"/>
    <s v="United States"/>
    <s v="Philadelphia"/>
    <x v="9"/>
    <n v="19140"/>
    <x v="3"/>
    <x v="0"/>
    <x v="0"/>
    <n v="3083.43"/>
    <n v="7"/>
    <n v="0.5"/>
    <n v="-1665.0522000000001"/>
    <n v="-0.54"/>
    <s v="High Sales"/>
  </r>
  <r>
    <s v="Standard Class"/>
    <x v="0"/>
    <s v="United States"/>
    <s v="Philadelphia"/>
    <x v="9"/>
    <n v="19140"/>
    <x v="3"/>
    <x v="1"/>
    <x v="8"/>
    <n v="9.6180000000000003"/>
    <n v="2"/>
    <n v="0.7"/>
    <n v="-7.0532000000000004"/>
    <n v="-0.73333333333333339"/>
    <s v="Low Sales"/>
  </r>
  <r>
    <s v="Standard Class"/>
    <x v="0"/>
    <s v="United States"/>
    <s v="Philadelphia"/>
    <x v="9"/>
    <n v="19140"/>
    <x v="3"/>
    <x v="0"/>
    <x v="5"/>
    <n v="124.2"/>
    <n v="3"/>
    <n v="0.2"/>
    <n v="15.525"/>
    <n v="0.125"/>
    <s v="Low Sales"/>
  </r>
  <r>
    <s v="Standard Class"/>
    <x v="0"/>
    <s v="United States"/>
    <s v="Philadelphia"/>
    <x v="9"/>
    <n v="19140"/>
    <x v="3"/>
    <x v="1"/>
    <x v="12"/>
    <n v="3.2639999999999998"/>
    <n v="2"/>
    <n v="0.2"/>
    <n v="1.1015999999999999"/>
    <n v="0.33750000000000002"/>
    <s v="Low Sales"/>
  </r>
  <r>
    <s v="Standard Class"/>
    <x v="0"/>
    <s v="United States"/>
    <s v="Philadelphia"/>
    <x v="9"/>
    <n v="19140"/>
    <x v="3"/>
    <x v="1"/>
    <x v="6"/>
    <n v="86.304000000000002"/>
    <n v="6"/>
    <n v="0.2"/>
    <n v="9.7091999999999992"/>
    <n v="0.11249999999999999"/>
    <s v="Low Sales"/>
  </r>
  <r>
    <s v="Standard Class"/>
    <x v="0"/>
    <s v="United States"/>
    <s v="Philadelphia"/>
    <x v="9"/>
    <n v="19140"/>
    <x v="3"/>
    <x v="1"/>
    <x v="8"/>
    <n v="6.8579999999999997"/>
    <n v="6"/>
    <n v="0.7"/>
    <n v="-5.7149999999999999"/>
    <n v="-0.83333333333333337"/>
    <s v="Low Sales"/>
  </r>
  <r>
    <s v="Standard Class"/>
    <x v="0"/>
    <s v="United States"/>
    <s v="Philadelphia"/>
    <x v="9"/>
    <n v="19140"/>
    <x v="3"/>
    <x v="1"/>
    <x v="6"/>
    <n v="15.76"/>
    <n v="2"/>
    <n v="0.2"/>
    <n v="3.5459999999999998"/>
    <n v="0.22499999999999998"/>
    <s v="Low Sales"/>
  </r>
  <r>
    <s v="Second Class"/>
    <x v="2"/>
    <s v="United States"/>
    <s v="Houston"/>
    <x v="5"/>
    <n v="77095"/>
    <x v="2"/>
    <x v="1"/>
    <x v="10"/>
    <n v="29.472000000000001"/>
    <n v="3"/>
    <n v="0.2"/>
    <n v="9.9467999999999996"/>
    <n v="0.33749999999999997"/>
    <s v="Low Sales"/>
  </r>
  <r>
    <s v="First Class"/>
    <x v="1"/>
    <s v="United States"/>
    <s v="Richardson"/>
    <x v="5"/>
    <n v="75080"/>
    <x v="2"/>
    <x v="2"/>
    <x v="7"/>
    <n v="1097.5440000000001"/>
    <n v="7"/>
    <n v="0.2"/>
    <n v="123.47369999999999"/>
    <n v="0.11249999999999999"/>
    <s v="High Sales"/>
  </r>
  <r>
    <s v="First Class"/>
    <x v="1"/>
    <s v="United States"/>
    <s v="Richardson"/>
    <x v="5"/>
    <n v="75080"/>
    <x v="2"/>
    <x v="0"/>
    <x v="5"/>
    <n v="190.92"/>
    <n v="5"/>
    <n v="0.6"/>
    <n v="-147.96299999999999"/>
    <n v="-0.77500000000000002"/>
    <s v="Low Sales"/>
  </r>
  <r>
    <s v="Standard Class"/>
    <x v="2"/>
    <s v="United States"/>
    <s v="Houston"/>
    <x v="5"/>
    <n v="77041"/>
    <x v="2"/>
    <x v="1"/>
    <x v="12"/>
    <n v="113.328"/>
    <n v="9"/>
    <n v="0.2"/>
    <n v="35.414999999999999"/>
    <n v="0.3125"/>
    <s v="Low Sales"/>
  </r>
  <r>
    <s v="Standard Class"/>
    <x v="2"/>
    <s v="United States"/>
    <s v="Houston"/>
    <x v="5"/>
    <n v="77041"/>
    <x v="2"/>
    <x v="0"/>
    <x v="0"/>
    <n v="532.39919999999995"/>
    <n v="3"/>
    <n v="0.32"/>
    <n v="-46.976399999999998"/>
    <n v="-8.8235294117647065E-2"/>
    <s v="High Sales"/>
  </r>
  <r>
    <s v="Standard Class"/>
    <x v="2"/>
    <s v="United States"/>
    <s v="Houston"/>
    <x v="5"/>
    <n v="77041"/>
    <x v="2"/>
    <x v="0"/>
    <x v="1"/>
    <n v="212.05799999999999"/>
    <n v="3"/>
    <n v="0.3"/>
    <n v="-15.147"/>
    <n v="-7.1428571428571438E-2"/>
    <s v="Low Sales"/>
  </r>
  <r>
    <s v="Standard Class"/>
    <x v="2"/>
    <s v="United States"/>
    <s v="Houston"/>
    <x v="5"/>
    <n v="77041"/>
    <x v="2"/>
    <x v="2"/>
    <x v="7"/>
    <n v="371.16800000000001"/>
    <n v="4"/>
    <n v="0.2"/>
    <n v="41.756399999999999"/>
    <n v="0.1125"/>
    <s v="Low Sales"/>
  </r>
  <r>
    <s v="Standard Class"/>
    <x v="1"/>
    <s v="United States"/>
    <s v="Naperville"/>
    <x v="10"/>
    <n v="60540"/>
    <x v="2"/>
    <x v="2"/>
    <x v="7"/>
    <n v="147.16800000000001"/>
    <n v="4"/>
    <n v="0.2"/>
    <n v="16.5564"/>
    <n v="0.11249999999999999"/>
    <s v="Low Sales"/>
  </r>
  <r>
    <s v="Standard Class"/>
    <x v="1"/>
    <s v="United States"/>
    <s v="Los Angeles"/>
    <x v="1"/>
    <n v="90049"/>
    <x v="1"/>
    <x v="1"/>
    <x v="4"/>
    <n v="77.88"/>
    <n v="2"/>
    <n v="0"/>
    <n v="3.8940000000000001"/>
    <n v="0.05"/>
    <s v="Low Sales"/>
  </r>
  <r>
    <s v="Standard Class"/>
    <x v="1"/>
    <s v="United States"/>
    <s v="Melbourne"/>
    <x v="2"/>
    <n v="32935"/>
    <x v="0"/>
    <x v="1"/>
    <x v="4"/>
    <n v="95.616"/>
    <n v="2"/>
    <n v="0.2"/>
    <n v="9.5616000000000003"/>
    <n v="0.1"/>
    <s v="Low Sales"/>
  </r>
  <r>
    <s v="First Class"/>
    <x v="1"/>
    <s v="United States"/>
    <s v="Eagan"/>
    <x v="11"/>
    <n v="55122"/>
    <x v="2"/>
    <x v="2"/>
    <x v="11"/>
    <n v="45.98"/>
    <n v="2"/>
    <n v="0"/>
    <n v="19.7714"/>
    <n v="0.43000000000000005"/>
    <s v="Low Sales"/>
  </r>
  <r>
    <s v="First Class"/>
    <x v="1"/>
    <s v="United States"/>
    <s v="Eagan"/>
    <x v="11"/>
    <n v="55122"/>
    <x v="2"/>
    <x v="1"/>
    <x v="8"/>
    <n v="17.46"/>
    <n v="2"/>
    <n v="0"/>
    <n v="8.2062000000000008"/>
    <n v="0.47000000000000003"/>
    <s v="Low Sales"/>
  </r>
  <r>
    <s v="Second Class"/>
    <x v="0"/>
    <s v="United States"/>
    <s v="Westland"/>
    <x v="12"/>
    <n v="48185"/>
    <x v="2"/>
    <x v="1"/>
    <x v="4"/>
    <n v="211.96"/>
    <n v="4"/>
    <n v="0"/>
    <n v="8.4784000000000006"/>
    <n v="0.04"/>
    <s v="Low Sales"/>
  </r>
  <r>
    <s v="Standard Class"/>
    <x v="0"/>
    <s v="United States"/>
    <s v="Dover"/>
    <x v="13"/>
    <n v="19901"/>
    <x v="3"/>
    <x v="2"/>
    <x v="11"/>
    <n v="45"/>
    <n v="3"/>
    <n v="0"/>
    <n v="4.95"/>
    <n v="0.11"/>
    <s v="Low Sales"/>
  </r>
  <r>
    <s v="Standard Class"/>
    <x v="0"/>
    <s v="United States"/>
    <s v="Dover"/>
    <x v="13"/>
    <n v="19901"/>
    <x v="3"/>
    <x v="2"/>
    <x v="7"/>
    <n v="21.8"/>
    <n v="2"/>
    <n v="0"/>
    <n v="6.1040000000000001"/>
    <n v="0.27999999999999997"/>
    <s v="Low Sales"/>
  </r>
  <r>
    <s v="Standard Class"/>
    <x v="0"/>
    <s v="United States"/>
    <s v="New Albany"/>
    <x v="14"/>
    <n v="47150"/>
    <x v="2"/>
    <x v="1"/>
    <x v="8"/>
    <n v="38.22"/>
    <n v="6"/>
    <n v="0"/>
    <n v="17.9634"/>
    <n v="0.47000000000000003"/>
    <s v="Low Sales"/>
  </r>
  <r>
    <s v="Standard Class"/>
    <x v="0"/>
    <s v="United States"/>
    <s v="New Albany"/>
    <x v="14"/>
    <n v="47150"/>
    <x v="2"/>
    <x v="1"/>
    <x v="2"/>
    <n v="75.180000000000007"/>
    <n v="6"/>
    <n v="0"/>
    <n v="35.334600000000002"/>
    <n v="0.47"/>
    <s v="Low Sales"/>
  </r>
  <r>
    <s v="Standard Class"/>
    <x v="0"/>
    <s v="United States"/>
    <s v="New Albany"/>
    <x v="14"/>
    <n v="47150"/>
    <x v="2"/>
    <x v="0"/>
    <x v="5"/>
    <n v="6.16"/>
    <n v="2"/>
    <n v="0"/>
    <n v="2.9567999999999999"/>
    <n v="0.48"/>
    <s v="Low Sales"/>
  </r>
  <r>
    <s v="Standard Class"/>
    <x v="0"/>
    <s v="United States"/>
    <s v="New Albany"/>
    <x v="14"/>
    <n v="47150"/>
    <x v="2"/>
    <x v="0"/>
    <x v="1"/>
    <n v="89.99"/>
    <n v="1"/>
    <n v="0"/>
    <n v="17.098099999999999"/>
    <n v="0.19"/>
    <s v="Low Sales"/>
  </r>
  <r>
    <s v="Standard Class"/>
    <x v="1"/>
    <s v="United States"/>
    <s v="New York City"/>
    <x v="15"/>
    <n v="10024"/>
    <x v="3"/>
    <x v="1"/>
    <x v="13"/>
    <n v="15.26"/>
    <n v="7"/>
    <n v="0"/>
    <n v="6.2565999999999997"/>
    <n v="0.41"/>
    <s v="Low Sales"/>
  </r>
  <r>
    <s v="Standard Class"/>
    <x v="1"/>
    <s v="United States"/>
    <s v="New York City"/>
    <x v="15"/>
    <n v="10024"/>
    <x v="3"/>
    <x v="2"/>
    <x v="7"/>
    <n v="1029.95"/>
    <n v="5"/>
    <n v="0"/>
    <n v="298.68549999999999"/>
    <n v="0.28999999999999998"/>
    <s v="High Sales"/>
  </r>
  <r>
    <s v="First Class"/>
    <x v="0"/>
    <s v="United States"/>
    <s v="Troy"/>
    <x v="15"/>
    <n v="12180"/>
    <x v="3"/>
    <x v="1"/>
    <x v="4"/>
    <n v="208.56"/>
    <n v="6"/>
    <n v="0"/>
    <n v="52.14"/>
    <n v="0.25"/>
    <s v="Low Sales"/>
  </r>
  <r>
    <s v="First Class"/>
    <x v="0"/>
    <s v="United States"/>
    <s v="Troy"/>
    <x v="15"/>
    <n v="12180"/>
    <x v="3"/>
    <x v="1"/>
    <x v="10"/>
    <n v="32.4"/>
    <n v="5"/>
    <n v="0"/>
    <n v="15.552"/>
    <n v="0.48"/>
    <s v="Low Sales"/>
  </r>
  <r>
    <s v="First Class"/>
    <x v="0"/>
    <s v="United States"/>
    <s v="Troy"/>
    <x v="15"/>
    <n v="12180"/>
    <x v="3"/>
    <x v="0"/>
    <x v="1"/>
    <n v="319.41000000000003"/>
    <n v="5"/>
    <n v="0.1"/>
    <n v="7.0979999999999999"/>
    <n v="2.222222222222222E-2"/>
    <s v="Low Sales"/>
  </r>
  <r>
    <s v="First Class"/>
    <x v="0"/>
    <s v="United States"/>
    <s v="Troy"/>
    <x v="15"/>
    <n v="12180"/>
    <x v="3"/>
    <x v="1"/>
    <x v="10"/>
    <n v="14.56"/>
    <n v="2"/>
    <n v="0"/>
    <n v="6.9888000000000003"/>
    <n v="0.48"/>
    <s v="Low Sales"/>
  </r>
  <r>
    <s v="First Class"/>
    <x v="0"/>
    <s v="United States"/>
    <s v="Troy"/>
    <x v="15"/>
    <n v="12180"/>
    <x v="3"/>
    <x v="2"/>
    <x v="11"/>
    <n v="30"/>
    <n v="2"/>
    <n v="0"/>
    <n v="3.3"/>
    <n v="0.11"/>
    <s v="Low Sales"/>
  </r>
  <r>
    <s v="First Class"/>
    <x v="0"/>
    <s v="United States"/>
    <s v="Troy"/>
    <x v="15"/>
    <n v="12180"/>
    <x v="3"/>
    <x v="1"/>
    <x v="8"/>
    <n v="48.48"/>
    <n v="4"/>
    <n v="0.2"/>
    <n v="16.361999999999998"/>
    <n v="0.33749999999999997"/>
    <s v="Low Sales"/>
  </r>
  <r>
    <s v="First Class"/>
    <x v="0"/>
    <s v="United States"/>
    <s v="Troy"/>
    <x v="15"/>
    <n v="12180"/>
    <x v="3"/>
    <x v="1"/>
    <x v="6"/>
    <n v="1.68"/>
    <n v="1"/>
    <n v="0"/>
    <n v="0.84"/>
    <n v="0.5"/>
    <s v="Low Sales"/>
  </r>
  <r>
    <s v="Standard Class"/>
    <x v="0"/>
    <s v="United States"/>
    <s v="Los Angeles"/>
    <x v="1"/>
    <n v="90004"/>
    <x v="1"/>
    <x v="2"/>
    <x v="11"/>
    <n v="13.98"/>
    <n v="2"/>
    <n v="0"/>
    <n v="6.1512000000000002"/>
    <n v="0.44"/>
    <s v="Low Sales"/>
  </r>
  <r>
    <s v="Standard Class"/>
    <x v="0"/>
    <s v="United States"/>
    <s v="Los Angeles"/>
    <x v="1"/>
    <n v="90004"/>
    <x v="1"/>
    <x v="1"/>
    <x v="8"/>
    <n v="25.824000000000002"/>
    <n v="6"/>
    <n v="0.2"/>
    <n v="9.3612000000000002"/>
    <n v="0.36249999999999999"/>
    <s v="Low Sales"/>
  </r>
  <r>
    <s v="Standard Class"/>
    <x v="0"/>
    <s v="United States"/>
    <s v="Los Angeles"/>
    <x v="1"/>
    <n v="90004"/>
    <x v="1"/>
    <x v="1"/>
    <x v="10"/>
    <n v="146.72999999999999"/>
    <n v="3"/>
    <n v="0"/>
    <n v="68.963099999999997"/>
    <n v="0.47000000000000003"/>
    <s v="Low Sales"/>
  </r>
  <r>
    <s v="Standard Class"/>
    <x v="0"/>
    <s v="United States"/>
    <s v="Los Angeles"/>
    <x v="1"/>
    <n v="90004"/>
    <x v="1"/>
    <x v="0"/>
    <x v="5"/>
    <n v="79.760000000000005"/>
    <n v="4"/>
    <n v="0"/>
    <n v="22.332799999999999"/>
    <n v="0.27999999999999997"/>
    <s v="Low Sales"/>
  </r>
  <r>
    <s v="Standard Class"/>
    <x v="2"/>
    <s v="United States"/>
    <s v="Chicago"/>
    <x v="10"/>
    <n v="60610"/>
    <x v="2"/>
    <x v="0"/>
    <x v="1"/>
    <n v="213.11500000000001"/>
    <n v="5"/>
    <n v="0.3"/>
    <n v="-15.2225"/>
    <n v="-7.1428571428571425E-2"/>
    <s v="Low Sales"/>
  </r>
  <r>
    <s v="Standard Class"/>
    <x v="1"/>
    <s v="United States"/>
    <s v="Gilbert"/>
    <x v="16"/>
    <n v="85234"/>
    <x v="1"/>
    <x v="1"/>
    <x v="6"/>
    <n v="1113.0239999999999"/>
    <n v="8"/>
    <n v="0.2"/>
    <n v="111.30240000000001"/>
    <n v="0.10000000000000002"/>
    <s v="High Sales"/>
  </r>
  <r>
    <s v="Standard Class"/>
    <x v="1"/>
    <s v="United States"/>
    <s v="Gilbert"/>
    <x v="16"/>
    <n v="85234"/>
    <x v="1"/>
    <x v="2"/>
    <x v="7"/>
    <n v="167.96799999999999"/>
    <n v="4"/>
    <n v="0.2"/>
    <n v="62.988"/>
    <n v="0.375"/>
    <s v="Low Sales"/>
  </r>
  <r>
    <s v="First Class"/>
    <x v="0"/>
    <s v="United States"/>
    <s v="Springfield"/>
    <x v="17"/>
    <n v="22153"/>
    <x v="0"/>
    <x v="1"/>
    <x v="10"/>
    <n v="75.88"/>
    <n v="2"/>
    <n v="0"/>
    <n v="35.663600000000002"/>
    <n v="0.47000000000000008"/>
    <s v="Low Sales"/>
  </r>
  <r>
    <s v="Standard Class"/>
    <x v="0"/>
    <s v="United States"/>
    <s v="New York City"/>
    <x v="15"/>
    <n v="10009"/>
    <x v="3"/>
    <x v="1"/>
    <x v="8"/>
    <n v="4.6159999999999997"/>
    <n v="1"/>
    <n v="0.2"/>
    <n v="1.7310000000000001"/>
    <n v="0.37500000000000006"/>
    <s v="Low Sales"/>
  </r>
  <r>
    <s v="Second Class"/>
    <x v="0"/>
    <s v="United States"/>
    <s v="Jackson"/>
    <x v="12"/>
    <n v="49201"/>
    <x v="2"/>
    <x v="1"/>
    <x v="10"/>
    <n v="19.05"/>
    <n v="3"/>
    <n v="0"/>
    <n v="8.7629999999999999"/>
    <n v="0.45999999999999996"/>
    <s v="Low Sales"/>
  </r>
  <r>
    <s v="Standard Class"/>
    <x v="0"/>
    <s v="United States"/>
    <s v="Memphis"/>
    <x v="18"/>
    <n v="38109"/>
    <x v="0"/>
    <x v="0"/>
    <x v="1"/>
    <n v="831.93600000000004"/>
    <n v="8"/>
    <n v="0.2"/>
    <n v="-114.3912"/>
    <n v="-0.13749999999999998"/>
    <s v="High Sales"/>
  </r>
  <r>
    <s v="Standard Class"/>
    <x v="0"/>
    <s v="United States"/>
    <s v="Memphis"/>
    <x v="18"/>
    <n v="38109"/>
    <x v="0"/>
    <x v="0"/>
    <x v="5"/>
    <n v="97.04"/>
    <n v="2"/>
    <n v="0.2"/>
    <n v="1.2130000000000001"/>
    <n v="1.2500000000000001E-2"/>
    <s v="Low Sales"/>
  </r>
  <r>
    <s v="Standard Class"/>
    <x v="0"/>
    <s v="United States"/>
    <s v="Memphis"/>
    <x v="18"/>
    <n v="38109"/>
    <x v="0"/>
    <x v="1"/>
    <x v="4"/>
    <n v="72.784000000000006"/>
    <n v="1"/>
    <n v="0.2"/>
    <n v="-18.196000000000002"/>
    <n v="-0.25"/>
    <s v="Low Sales"/>
  </r>
  <r>
    <s v="First Class"/>
    <x v="1"/>
    <s v="United States"/>
    <s v="Houston"/>
    <x v="5"/>
    <n v="77041"/>
    <x v="2"/>
    <x v="1"/>
    <x v="8"/>
    <n v="1.248"/>
    <n v="3"/>
    <n v="0.8"/>
    <n v="-1.9343999999999999"/>
    <n v="-1.5499999999999998"/>
    <s v="Low Sales"/>
  </r>
  <r>
    <s v="First Class"/>
    <x v="1"/>
    <s v="United States"/>
    <s v="Houston"/>
    <x v="5"/>
    <n v="77041"/>
    <x v="2"/>
    <x v="0"/>
    <x v="5"/>
    <n v="9.7080000000000002"/>
    <n v="3"/>
    <n v="0.6"/>
    <n v="-5.8247999999999998"/>
    <n v="-0.6"/>
    <s v="Low Sales"/>
  </r>
  <r>
    <s v="First Class"/>
    <x v="1"/>
    <s v="United States"/>
    <s v="Houston"/>
    <x v="5"/>
    <n v="77041"/>
    <x v="2"/>
    <x v="1"/>
    <x v="4"/>
    <n v="27.24"/>
    <n v="3"/>
    <n v="0.2"/>
    <n v="2.7240000000000002"/>
    <n v="0.10000000000000002"/>
    <s v="Low Sales"/>
  </r>
  <r>
    <s v="Second Class"/>
    <x v="0"/>
    <s v="United States"/>
    <s v="Houston"/>
    <x v="5"/>
    <n v="77070"/>
    <x v="2"/>
    <x v="0"/>
    <x v="5"/>
    <n v="19.3"/>
    <n v="5"/>
    <n v="0.6"/>
    <n v="-14.475"/>
    <n v="-0.75"/>
    <s v="Low Sales"/>
  </r>
  <r>
    <s v="First Class"/>
    <x v="1"/>
    <s v="United States"/>
    <s v="Decatur"/>
    <x v="19"/>
    <n v="35601"/>
    <x v="0"/>
    <x v="1"/>
    <x v="9"/>
    <n v="208.16"/>
    <n v="1"/>
    <n v="0"/>
    <n v="56.203200000000002"/>
    <n v="0.27"/>
    <s v="Low Sales"/>
  </r>
  <r>
    <s v="First Class"/>
    <x v="1"/>
    <s v="United States"/>
    <s v="Decatur"/>
    <x v="19"/>
    <n v="35601"/>
    <x v="0"/>
    <x v="1"/>
    <x v="8"/>
    <n v="16.739999999999998"/>
    <n v="3"/>
    <n v="0"/>
    <n v="8.0351999999999997"/>
    <n v="0.48000000000000004"/>
    <s v="Low Sales"/>
  </r>
  <r>
    <s v="Standard Class"/>
    <x v="0"/>
    <s v="United States"/>
    <s v="San Francisco"/>
    <x v="1"/>
    <n v="94122"/>
    <x v="1"/>
    <x v="1"/>
    <x v="6"/>
    <n v="14.9"/>
    <n v="5"/>
    <n v="0"/>
    <n v="4.1719999999999997"/>
    <n v="0.27999999999999997"/>
    <s v="Low Sales"/>
  </r>
  <r>
    <s v="Standard Class"/>
    <x v="0"/>
    <s v="United States"/>
    <s v="San Francisco"/>
    <x v="1"/>
    <n v="94122"/>
    <x v="1"/>
    <x v="1"/>
    <x v="4"/>
    <n v="21.39"/>
    <n v="1"/>
    <n v="0"/>
    <n v="6.2031000000000001"/>
    <n v="0.28999999999999998"/>
    <s v="Low Sales"/>
  </r>
  <r>
    <s v="Standard Class"/>
    <x v="1"/>
    <s v="United States"/>
    <s v="Durham"/>
    <x v="3"/>
    <n v="27707"/>
    <x v="0"/>
    <x v="1"/>
    <x v="12"/>
    <n v="200.98400000000001"/>
    <n v="7"/>
    <n v="0.2"/>
    <n v="62.807499999999997"/>
    <n v="0.3125"/>
    <s v="Low Sales"/>
  </r>
  <r>
    <s v="First Class"/>
    <x v="2"/>
    <s v="United States"/>
    <s v="Chicago"/>
    <x v="10"/>
    <n v="60623"/>
    <x v="2"/>
    <x v="1"/>
    <x v="4"/>
    <n v="230.376"/>
    <n v="3"/>
    <n v="0.2"/>
    <n v="-48.954900000000002"/>
    <n v="-0.21249999999999999"/>
    <s v="Low Sales"/>
  </r>
  <r>
    <s v="Second Class"/>
    <x v="0"/>
    <s v="United States"/>
    <s v="Columbia"/>
    <x v="20"/>
    <n v="29203"/>
    <x v="0"/>
    <x v="0"/>
    <x v="1"/>
    <n v="301.95999999999998"/>
    <n v="2"/>
    <n v="0"/>
    <n v="33.215600000000002"/>
    <n v="0.11000000000000001"/>
    <s v="Low Sales"/>
  </r>
  <r>
    <s v="Standard Class"/>
    <x v="0"/>
    <s v="United States"/>
    <s v="Rochester"/>
    <x v="11"/>
    <n v="55901"/>
    <x v="2"/>
    <x v="2"/>
    <x v="11"/>
    <n v="19.989999999999998"/>
    <n v="1"/>
    <n v="0"/>
    <n v="6.7965999999999998"/>
    <n v="0.34"/>
    <s v="Low Sales"/>
  </r>
  <r>
    <s v="Standard Class"/>
    <x v="0"/>
    <s v="United States"/>
    <s v="Rochester"/>
    <x v="11"/>
    <n v="55901"/>
    <x v="2"/>
    <x v="1"/>
    <x v="2"/>
    <n v="6.16"/>
    <n v="2"/>
    <n v="0"/>
    <n v="2.9567999999999999"/>
    <n v="0.48"/>
    <s v="Low Sales"/>
  </r>
  <r>
    <s v="Second Class"/>
    <x v="2"/>
    <s v="United States"/>
    <s v="Houston"/>
    <x v="5"/>
    <n v="77095"/>
    <x v="2"/>
    <x v="1"/>
    <x v="4"/>
    <n v="158.36799999999999"/>
    <n v="7"/>
    <n v="0.2"/>
    <n v="13.857200000000001"/>
    <n v="8.7500000000000008E-2"/>
    <s v="Low Sales"/>
  </r>
  <r>
    <s v="Standard Class"/>
    <x v="1"/>
    <s v="United States"/>
    <s v="Los Angeles"/>
    <x v="1"/>
    <n v="90036"/>
    <x v="1"/>
    <x v="1"/>
    <x v="6"/>
    <n v="20.100000000000001"/>
    <n v="3"/>
    <n v="0"/>
    <n v="6.633"/>
    <n v="0.32999999999999996"/>
    <s v="Low Sales"/>
  </r>
  <r>
    <s v="Standard Class"/>
    <x v="1"/>
    <s v="United States"/>
    <s v="Los Angeles"/>
    <x v="1"/>
    <n v="90036"/>
    <x v="1"/>
    <x v="2"/>
    <x v="7"/>
    <n v="73.584000000000003"/>
    <n v="2"/>
    <n v="0.2"/>
    <n v="8.2782"/>
    <n v="0.11249999999999999"/>
    <s v="Low Sales"/>
  </r>
  <r>
    <s v="Standard Class"/>
    <x v="1"/>
    <s v="United States"/>
    <s v="Los Angeles"/>
    <x v="1"/>
    <n v="90036"/>
    <x v="1"/>
    <x v="1"/>
    <x v="10"/>
    <n v="6.48"/>
    <n v="1"/>
    <n v="0"/>
    <n v="3.1103999999999998"/>
    <n v="0.47999999999999993"/>
    <s v="Low Sales"/>
  </r>
  <r>
    <s v="Second Class"/>
    <x v="0"/>
    <s v="United States"/>
    <s v="Minneapolis"/>
    <x v="11"/>
    <n v="55407"/>
    <x v="2"/>
    <x v="1"/>
    <x v="10"/>
    <n v="12.96"/>
    <n v="2"/>
    <n v="0"/>
    <n v="6.2207999999999997"/>
    <n v="0.47999999999999993"/>
    <s v="Low Sales"/>
  </r>
  <r>
    <s v="Second Class"/>
    <x v="0"/>
    <s v="United States"/>
    <s v="Minneapolis"/>
    <x v="11"/>
    <n v="55407"/>
    <x v="2"/>
    <x v="0"/>
    <x v="5"/>
    <n v="53.34"/>
    <n v="3"/>
    <n v="0"/>
    <n v="16.535399999999999"/>
    <n v="0.30999999999999994"/>
    <s v="Low Sales"/>
  </r>
  <r>
    <s v="Second Class"/>
    <x v="0"/>
    <s v="United States"/>
    <s v="Minneapolis"/>
    <x v="11"/>
    <n v="55407"/>
    <x v="2"/>
    <x v="1"/>
    <x v="8"/>
    <n v="32.96"/>
    <n v="2"/>
    <n v="0"/>
    <n v="16.150400000000001"/>
    <n v="0.49000000000000005"/>
    <s v="Low Sales"/>
  </r>
  <r>
    <s v="Standard Class"/>
    <x v="2"/>
    <s v="United States"/>
    <s v="Portland"/>
    <x v="21"/>
    <n v="97206"/>
    <x v="1"/>
    <x v="1"/>
    <x v="8"/>
    <n v="5.6820000000000004"/>
    <n v="1"/>
    <n v="0.7"/>
    <n v="-3.7879999999999998"/>
    <n v="-0.66666666666666663"/>
    <s v="Low Sales"/>
  </r>
  <r>
    <s v="Second Class"/>
    <x v="2"/>
    <s v="United States"/>
    <s v="New York City"/>
    <x v="15"/>
    <n v="10009"/>
    <x v="3"/>
    <x v="0"/>
    <x v="5"/>
    <n v="96.53"/>
    <n v="7"/>
    <n v="0"/>
    <n v="40.5426"/>
    <n v="0.42"/>
    <s v="Low Sales"/>
  </r>
  <r>
    <s v="First Class"/>
    <x v="0"/>
    <s v="United States"/>
    <s v="San Francisco"/>
    <x v="1"/>
    <n v="94122"/>
    <x v="1"/>
    <x v="1"/>
    <x v="8"/>
    <n v="51.311999999999998"/>
    <n v="3"/>
    <n v="0.2"/>
    <n v="17.959199999999999"/>
    <n v="0.35"/>
    <s v="Low Sales"/>
  </r>
  <r>
    <s v="Standard Class"/>
    <x v="1"/>
    <s v="United States"/>
    <s v="Saint Paul"/>
    <x v="11"/>
    <n v="55106"/>
    <x v="2"/>
    <x v="1"/>
    <x v="9"/>
    <n v="77.88"/>
    <n v="6"/>
    <n v="0"/>
    <n v="22.5852"/>
    <n v="0.29000000000000004"/>
    <s v="Low 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B642EB-6110-4304-BB71-A98367E6B9B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26" firstHeaderRow="1" firstDataRow="1" firstDataCol="1"/>
  <pivotFields count="15">
    <pivotField showAll="0"/>
    <pivotField showAll="0"/>
    <pivotField showAll="0"/>
    <pivotField showAll="0"/>
    <pivotField axis="axisRow" showAll="0">
      <items count="23">
        <item x="19"/>
        <item x="16"/>
        <item x="1"/>
        <item x="13"/>
        <item x="2"/>
        <item x="10"/>
        <item x="14"/>
        <item x="0"/>
        <item x="12"/>
        <item x="11"/>
        <item x="8"/>
        <item x="15"/>
        <item x="3"/>
        <item x="21"/>
        <item x="9"/>
        <item x="20"/>
        <item x="18"/>
        <item x="5"/>
        <item x="7"/>
        <item x="17"/>
        <item x="4"/>
        <item x="6"/>
        <item t="default"/>
      </items>
    </pivotField>
    <pivotField showAll="0"/>
    <pivotField showAll="0"/>
    <pivotField showAll="0"/>
    <pivotField showAll="0"/>
    <pivotField showAll="0"/>
    <pivotField showAll="0"/>
    <pivotField numFmtId="9" showAll="0"/>
    <pivotField dataField="1" showAll="0"/>
    <pivotField numFmtId="9" showAll="0"/>
    <pivotField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Profit" fld="12" baseField="0" baseItem="0"/>
  </dataFields>
  <formats count="12">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1D620D-DEBA-4E45-8656-D2AB7E23857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3:L7" firstHeaderRow="1" firstDataRow="1" firstDataCol="1"/>
  <pivotFields count="15">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numFmtId="9" showAll="0"/>
    <pivotField showAll="0"/>
    <pivotField numFmtId="9" showAll="0"/>
    <pivotField showAll="0"/>
  </pivotFields>
  <rowFields count="1">
    <field x="1"/>
  </rowFields>
  <rowItems count="4">
    <i>
      <x/>
    </i>
    <i>
      <x v="1"/>
    </i>
    <i>
      <x v="2"/>
    </i>
    <i t="grand">
      <x/>
    </i>
  </rowItems>
  <colItems count="1">
    <i/>
  </colItems>
  <dataFields count="1">
    <dataField name="Sum of Sales" fld="9" baseField="0" baseItem="0"/>
  </dataFields>
  <formats count="18">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s>
  <chartFormats count="4">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 count="1" selected="0">
            <x v="0"/>
          </reference>
        </references>
      </pivotArea>
    </chartFormat>
    <chartFormat chart="16" format="7">
      <pivotArea type="data" outline="0" fieldPosition="0">
        <references count="2">
          <reference field="4294967294" count="1" selected="0">
            <x v="0"/>
          </reference>
          <reference field="1" count="1" selected="0">
            <x v="1"/>
          </reference>
        </references>
      </pivotArea>
    </chartFormat>
    <chartFormat chart="16"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2B1561-A4C7-428A-A6A7-69F1ED977D3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3:I7" firstHeaderRow="1" firstDataRow="1" firstDataCol="1"/>
  <pivotFields count="15">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numFmtId="9" showAll="0"/>
    <pivotField dataField="1" showAll="0"/>
    <pivotField numFmtId="9" showAll="0"/>
    <pivotField showAll="0"/>
  </pivotFields>
  <rowFields count="1">
    <field x="7"/>
  </rowFields>
  <rowItems count="4">
    <i>
      <x/>
    </i>
    <i>
      <x v="1"/>
    </i>
    <i>
      <x v="2"/>
    </i>
    <i t="grand">
      <x/>
    </i>
  </rowItems>
  <colItems count="1">
    <i/>
  </colItems>
  <dataFields count="1">
    <dataField name="Sum of Profit" fld="12" baseField="0" baseItem="0"/>
  </dataFields>
  <formats count="12">
    <format dxfId="41">
      <pivotArea type="all" dataOnly="0" outline="0" fieldPosition="0"/>
    </format>
    <format dxfId="40">
      <pivotArea outline="0" collapsedLevelsAreSubtotals="1" fieldPosition="0"/>
    </format>
    <format dxfId="39">
      <pivotArea field="7" type="button" dataOnly="0" labelOnly="1" outline="0" axis="axisRow" fieldPosition="0"/>
    </format>
    <format dxfId="38">
      <pivotArea dataOnly="0" labelOnly="1" fieldPosition="0">
        <references count="1">
          <reference field="7"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7" type="button" dataOnly="0" labelOnly="1" outline="0" axis="axisRow" fieldPosition="0"/>
    </format>
    <format dxfId="32">
      <pivotArea dataOnly="0" labelOnly="1" fieldPosition="0">
        <references count="1">
          <reference field="7" count="0"/>
        </references>
      </pivotArea>
    </format>
    <format dxfId="31">
      <pivotArea dataOnly="0" labelOnly="1" grandRow="1" outline="0" fieldPosition="0"/>
    </format>
    <format dxfId="30">
      <pivotArea dataOnly="0" labelOnly="1" outline="0" axis="axisValues"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F43E5-7592-4ACF-A7C5-4F17958980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F18" firstHeaderRow="0" firstDataRow="1" firstDataCol="1"/>
  <pivotFields count="15">
    <pivotField showAll="0"/>
    <pivotField showAll="0"/>
    <pivotField showAll="0"/>
    <pivotField showAll="0"/>
    <pivotField showAll="0"/>
    <pivotField showAll="0"/>
    <pivotField showAll="0"/>
    <pivotField showAll="0"/>
    <pivotField axis="axisRow" showAll="0">
      <items count="15">
        <item x="11"/>
        <item x="9"/>
        <item x="6"/>
        <item x="8"/>
        <item x="0"/>
        <item x="1"/>
        <item x="12"/>
        <item x="13"/>
        <item x="5"/>
        <item x="2"/>
        <item x="10"/>
        <item x="7"/>
        <item x="4"/>
        <item x="3"/>
        <item t="default"/>
      </items>
    </pivotField>
    <pivotField dataField="1" showAll="0"/>
    <pivotField showAll="0"/>
    <pivotField numFmtId="9" showAll="0"/>
    <pivotField dataField="1" showAll="0"/>
    <pivotField numFmtId="9" showAll="0"/>
    <pivotField showAll="0"/>
  </pivotFields>
  <rowFields count="1">
    <field x="8"/>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Sales" fld="9" baseField="0" baseItem="0"/>
    <dataField name="Sum of Profit" fld="12" baseField="0" baseItem="0"/>
  </dataFields>
  <formats count="12">
    <format dxfId="53">
      <pivotArea type="all" dataOnly="0" outline="0" fieldPosition="0"/>
    </format>
    <format dxfId="52">
      <pivotArea outline="0" collapsedLevelsAreSubtotals="1"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grandRow="1" outline="0" fieldPosition="0"/>
    </format>
    <format dxfId="42">
      <pivotArea dataOnly="0" labelOnly="1" outline="0" fieldPosition="0">
        <references count="1">
          <reference field="4294967294" count="2">
            <x v="0"/>
            <x v="1"/>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823940-3932-46AF-AB6A-CB0A6C0A1E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8" firstHeaderRow="1" firstDataRow="1" firstDataCol="1"/>
  <pivotFields count="15">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 showAll="0"/>
    <pivotField numFmtId="9" showAll="0"/>
    <pivotField showAll="0"/>
    <pivotField numFmtId="9" showAll="0"/>
    <pivotField showAll="0"/>
  </pivotFields>
  <rowFields count="1">
    <field x="6"/>
  </rowFields>
  <rowItems count="5">
    <i>
      <x/>
    </i>
    <i>
      <x v="1"/>
    </i>
    <i>
      <x v="2"/>
    </i>
    <i>
      <x v="3"/>
    </i>
    <i t="grand">
      <x/>
    </i>
  </rowItems>
  <colItems count="1">
    <i/>
  </colItems>
  <dataFields count="1">
    <dataField name="Sum of Sales" fld="9" baseField="0" baseItem="0"/>
  </dataFields>
  <formats count="18">
    <format dxfId="71">
      <pivotArea type="all" dataOnly="0" outline="0" fieldPosition="0"/>
    </format>
    <format dxfId="70">
      <pivotArea outline="0" collapsedLevelsAreSubtotals="1" fieldPosition="0"/>
    </format>
    <format dxfId="69">
      <pivotArea field="6" type="button" dataOnly="0" labelOnly="1" outline="0" axis="axisRow" fieldPosition="0"/>
    </format>
    <format dxfId="68">
      <pivotArea dataOnly="0" labelOnly="1" fieldPosition="0">
        <references count="1">
          <reference field="6"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6" type="button" dataOnly="0" labelOnly="1" outline="0" axis="axisRow" fieldPosition="0"/>
    </format>
    <format dxfId="62">
      <pivotArea dataOnly="0" labelOnly="1" fieldPosition="0">
        <references count="1">
          <reference field="6"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grandRow="1" outline="0" fieldPosition="0"/>
    </format>
    <format dxfId="54">
      <pivotArea dataOnly="0" labelOnly="1" outline="0" axis="axisValues" fieldPosition="0"/>
    </format>
  </format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BCEAF17-B7AD-472A-B025-C83C30BCD090}" sourceName="Segment">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53E8B7-9173-4A4C-B4A2-00B5F892BEE5}" sourceName="Region">
  <extLst>
    <x:ext xmlns:x15="http://schemas.microsoft.com/office/spreadsheetml/2010/11/main" uri="{2F2917AC-EB37-4324-AD4E-5DD8C200BD13}">
      <x15:tableSlicerCache tableId="1" column="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407B4E4-90D3-42C1-871B-17CF4F5F10B7}" sourceName="Categor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C2DD3E3-D969-4BEC-8610-2E9E5FF7477F}" cache="Slicer_Segment" caption="Segment" columnCount="4" rowHeight="180000"/>
  <slicer name="Region 1" xr10:uid="{97F72518-7971-4944-89BE-F5DD4CAB5114}" cache="Slicer_Region" caption="Region" columnCount="4" rowHeight="216000"/>
  <slicer name="Category 1" xr10:uid="{A3F55E4C-7BAE-4CC2-86D2-BCFA22E8FA95}" cache="Slicer_Category" caption="Category" columnCount="3"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85BC42-3517-4E85-9993-CE4954DD1E5F}" name="Table1" displayName="Table1" ref="A1:O100" totalsRowShown="0" dataDxfId="87">
  <autoFilter ref="A1:O100" xr:uid="{EE85BC42-3517-4E85-9993-CE4954DD1E5F}"/>
  <tableColumns count="15">
    <tableColumn id="1" xr3:uid="{049D27F8-1A35-47CE-B76C-3D7BA90798D4}" name="Ship Mode" dataDxfId="86"/>
    <tableColumn id="2" xr3:uid="{C4EB55C2-CF28-49D9-9135-27D66CFCDE28}" name="Segment" dataDxfId="85"/>
    <tableColumn id="3" xr3:uid="{6515CB21-4BC4-4939-A369-759BB59DDBFA}" name="Country" dataDxfId="84"/>
    <tableColumn id="4" xr3:uid="{D2D0A13D-3A11-4C92-816B-2EC306AABB9A}" name="City" dataDxfId="83"/>
    <tableColumn id="5" xr3:uid="{D0C491B4-BF45-4A97-AFD8-E683A415AD4F}" name="State" dataDxfId="82"/>
    <tableColumn id="6" xr3:uid="{F5971CE9-6FCB-4322-80B4-AAE711AADEDB}" name="Postal Code" dataDxfId="81"/>
    <tableColumn id="7" xr3:uid="{06B908B8-343C-4E18-A4C4-C7743B756A49}" name="Region" dataDxfId="80"/>
    <tableColumn id="8" xr3:uid="{EEBEADCC-73B4-448A-9E64-44D1C9DC7094}" name="Category" dataDxfId="79"/>
    <tableColumn id="9" xr3:uid="{58B5C95D-62F3-4E72-881F-32DFA0ADF1D4}" name="Sub-Category" dataDxfId="78"/>
    <tableColumn id="10" xr3:uid="{DF3D44A4-0CA0-44C9-AF95-95B3F3D7A57F}" name="Sales" dataDxfId="77"/>
    <tableColumn id="11" xr3:uid="{B98C1699-F7B7-4A41-B76D-9F46A73DB01C}" name="Quantity" dataDxfId="76"/>
    <tableColumn id="12" xr3:uid="{135A65AA-29F3-43ED-ADE9-A59CDBD9C251}" name="Discount" dataDxfId="75" dataCellStyle="Percent"/>
    <tableColumn id="13" xr3:uid="{0B2CC8D8-838D-4374-B5CA-5B449CF6EF26}" name="Profit" dataDxfId="74"/>
    <tableColumn id="14" xr3:uid="{16196DEE-C454-4CCE-809B-7B96719C2EE7}" name="Profit Margin %" dataDxfId="73" dataCellStyle="Percent">
      <calculatedColumnFormula>Table1[[#This Row],[Profit]]/Table1[[#This Row],[Sales]]</calculatedColumnFormula>
    </tableColumn>
    <tableColumn id="15" xr3:uid="{E4C19C91-3AE5-43B3-8BE9-AB07C2BC1A5C}" name="Sales Category" dataDxfId="72">
      <calculatedColumnFormula>IF(Table1[[#This Row],[Sales]]&gt;500, "High Sales", "Low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267B-5D12-423B-A52D-579635EB12BA}">
  <dimension ref="A1:O100"/>
  <sheetViews>
    <sheetView workbookViewId="0">
      <selection activeCell="Q5" sqref="Q5"/>
    </sheetView>
  </sheetViews>
  <sheetFormatPr defaultRowHeight="14.4" x14ac:dyDescent="0.3"/>
  <cols>
    <col min="1" max="1" width="13.109375" bestFit="1" customWidth="1"/>
    <col min="2" max="2" width="11.109375" bestFit="1" customWidth="1"/>
    <col min="3" max="3" width="11.5546875" bestFit="1" customWidth="1"/>
    <col min="4" max="4" width="13.6640625" bestFit="1" customWidth="1"/>
    <col min="6" max="6" width="12.77734375" customWidth="1"/>
    <col min="8" max="8" width="13.109375" bestFit="1" customWidth="1"/>
    <col min="9" max="9" width="14.109375" customWidth="1"/>
    <col min="10" max="10" width="9" bestFit="1" customWidth="1"/>
    <col min="11" max="11" width="10" customWidth="1"/>
    <col min="12" max="12" width="10.21875" style="3" customWidth="1"/>
    <col min="13" max="13" width="10.6640625" style="1" bestFit="1" customWidth="1"/>
    <col min="14" max="14" width="15.6640625" style="3" bestFit="1" customWidth="1"/>
    <col min="15" max="15" width="15.5546875" bestFit="1" customWidth="1"/>
  </cols>
  <sheetData>
    <row r="1" spans="1:15" x14ac:dyDescent="0.3">
      <c r="A1" t="s">
        <v>0</v>
      </c>
      <c r="B1" t="s">
        <v>1</v>
      </c>
      <c r="C1" t="s">
        <v>2</v>
      </c>
      <c r="D1" t="s">
        <v>3</v>
      </c>
      <c r="E1" t="s">
        <v>4</v>
      </c>
      <c r="F1" t="s">
        <v>5</v>
      </c>
      <c r="G1" t="s">
        <v>6</v>
      </c>
      <c r="H1" t="s">
        <v>7</v>
      </c>
      <c r="I1" t="s">
        <v>8</v>
      </c>
      <c r="J1" t="s">
        <v>9</v>
      </c>
      <c r="K1" t="s">
        <v>10</v>
      </c>
      <c r="L1" s="3" t="s">
        <v>11</v>
      </c>
      <c r="M1" t="s">
        <v>12</v>
      </c>
      <c r="N1" s="3" t="s">
        <v>97</v>
      </c>
      <c r="O1" t="s">
        <v>98</v>
      </c>
    </row>
    <row r="2" spans="1:15" x14ac:dyDescent="0.3">
      <c r="A2" s="2" t="s">
        <v>13</v>
      </c>
      <c r="B2" s="2" t="s">
        <v>14</v>
      </c>
      <c r="C2" s="2" t="s">
        <v>15</v>
      </c>
      <c r="D2" s="2" t="s">
        <v>16</v>
      </c>
      <c r="E2" s="2" t="s">
        <v>17</v>
      </c>
      <c r="F2" s="2">
        <v>42420</v>
      </c>
      <c r="G2" s="2" t="s">
        <v>18</v>
      </c>
      <c r="H2" s="2" t="s">
        <v>19</v>
      </c>
      <c r="I2" s="2" t="s">
        <v>20</v>
      </c>
      <c r="J2" s="2">
        <v>261.95999999999998</v>
      </c>
      <c r="K2" s="2">
        <v>2</v>
      </c>
      <c r="L2" s="4">
        <v>0</v>
      </c>
      <c r="M2" s="2">
        <v>41.913600000000002</v>
      </c>
      <c r="N2" s="4">
        <f>Table1[[#This Row],[Profit]]/Table1[[#This Row],[Sales]]</f>
        <v>0.16000000000000003</v>
      </c>
      <c r="O2" s="2" t="str">
        <f>IF(Table1[[#This Row],[Sales]]&gt;500, "High Sales", "Low Sales")</f>
        <v>Low Sales</v>
      </c>
    </row>
    <row r="3" spans="1:15" x14ac:dyDescent="0.3">
      <c r="A3" s="2" t="s">
        <v>13</v>
      </c>
      <c r="B3" s="2" t="s">
        <v>14</v>
      </c>
      <c r="C3" s="2" t="s">
        <v>15</v>
      </c>
      <c r="D3" s="2" t="s">
        <v>16</v>
      </c>
      <c r="E3" s="2" t="s">
        <v>17</v>
      </c>
      <c r="F3" s="2">
        <v>42420</v>
      </c>
      <c r="G3" s="2" t="s">
        <v>18</v>
      </c>
      <c r="H3" s="2" t="s">
        <v>19</v>
      </c>
      <c r="I3" s="2" t="s">
        <v>21</v>
      </c>
      <c r="J3" s="2">
        <v>731.94</v>
      </c>
      <c r="K3" s="2">
        <v>3</v>
      </c>
      <c r="L3" s="4">
        <v>0</v>
      </c>
      <c r="M3" s="2">
        <v>219.58199999999999</v>
      </c>
      <c r="N3" s="4">
        <f>Table1[[#This Row],[Profit]]/Table1[[#This Row],[Sales]]</f>
        <v>0.3</v>
      </c>
      <c r="O3" s="2" t="str">
        <f>IF(Table1[[#This Row],[Sales]]&gt;500, "High Sales", "Low Sales")</f>
        <v>High Sales</v>
      </c>
    </row>
    <row r="4" spans="1:15" x14ac:dyDescent="0.3">
      <c r="A4" s="2" t="s">
        <v>13</v>
      </c>
      <c r="B4" s="2" t="s">
        <v>22</v>
      </c>
      <c r="C4" s="2" t="s">
        <v>15</v>
      </c>
      <c r="D4" s="2" t="s">
        <v>23</v>
      </c>
      <c r="E4" s="2" t="s">
        <v>24</v>
      </c>
      <c r="F4" s="2">
        <v>90036</v>
      </c>
      <c r="G4" s="2" t="s">
        <v>25</v>
      </c>
      <c r="H4" s="2" t="s">
        <v>26</v>
      </c>
      <c r="I4" s="2" t="s">
        <v>27</v>
      </c>
      <c r="J4" s="2">
        <v>14.62</v>
      </c>
      <c r="K4" s="2">
        <v>2</v>
      </c>
      <c r="L4" s="4">
        <v>0</v>
      </c>
      <c r="M4" s="2">
        <v>6.8714000000000004</v>
      </c>
      <c r="N4" s="4">
        <f>Table1[[#This Row],[Profit]]/Table1[[#This Row],[Sales]]</f>
        <v>0.47000000000000003</v>
      </c>
      <c r="O4" s="2" t="str">
        <f>IF(Table1[[#This Row],[Sales]]&gt;500, "High Sales", "Low Sales")</f>
        <v>Low Sales</v>
      </c>
    </row>
    <row r="5" spans="1:15" x14ac:dyDescent="0.3">
      <c r="A5" s="2" t="s">
        <v>28</v>
      </c>
      <c r="B5" s="2" t="s">
        <v>14</v>
      </c>
      <c r="C5" s="2" t="s">
        <v>15</v>
      </c>
      <c r="D5" s="2" t="s">
        <v>29</v>
      </c>
      <c r="E5" s="2" t="s">
        <v>30</v>
      </c>
      <c r="F5" s="2">
        <v>33311</v>
      </c>
      <c r="G5" s="2" t="s">
        <v>18</v>
      </c>
      <c r="H5" s="2" t="s">
        <v>19</v>
      </c>
      <c r="I5" s="2" t="s">
        <v>31</v>
      </c>
      <c r="J5" s="2">
        <v>957.57749999999999</v>
      </c>
      <c r="K5" s="2">
        <v>5</v>
      </c>
      <c r="L5" s="4">
        <v>0.45</v>
      </c>
      <c r="M5" s="2">
        <v>-383.03100000000001</v>
      </c>
      <c r="N5" s="4">
        <f>Table1[[#This Row],[Profit]]/Table1[[#This Row],[Sales]]</f>
        <v>-0.4</v>
      </c>
      <c r="O5" s="2" t="str">
        <f>IF(Table1[[#This Row],[Sales]]&gt;500, "High Sales", "Low Sales")</f>
        <v>High Sales</v>
      </c>
    </row>
    <row r="6" spans="1:15" x14ac:dyDescent="0.3">
      <c r="A6" s="2" t="s">
        <v>28</v>
      </c>
      <c r="B6" s="2" t="s">
        <v>14</v>
      </c>
      <c r="C6" s="2" t="s">
        <v>15</v>
      </c>
      <c r="D6" s="2" t="s">
        <v>29</v>
      </c>
      <c r="E6" s="2" t="s">
        <v>30</v>
      </c>
      <c r="F6" s="2">
        <v>33311</v>
      </c>
      <c r="G6" s="2" t="s">
        <v>18</v>
      </c>
      <c r="H6" s="2" t="s">
        <v>26</v>
      </c>
      <c r="I6" s="2" t="s">
        <v>32</v>
      </c>
      <c r="J6" s="2">
        <v>22.367999999999999</v>
      </c>
      <c r="K6" s="2">
        <v>2</v>
      </c>
      <c r="L6" s="4">
        <v>0.2</v>
      </c>
      <c r="M6" s="2">
        <v>2.5164</v>
      </c>
      <c r="N6" s="4">
        <f>Table1[[#This Row],[Profit]]/Table1[[#This Row],[Sales]]</f>
        <v>0.1125</v>
      </c>
      <c r="O6" s="2" t="str">
        <f>IF(Table1[[#This Row],[Sales]]&gt;500, "High Sales", "Low Sales")</f>
        <v>Low Sales</v>
      </c>
    </row>
    <row r="7" spans="1:15" x14ac:dyDescent="0.3">
      <c r="A7" s="2" t="s">
        <v>28</v>
      </c>
      <c r="B7" s="2" t="s">
        <v>14</v>
      </c>
      <c r="C7" s="2" t="s">
        <v>15</v>
      </c>
      <c r="D7" s="2" t="s">
        <v>23</v>
      </c>
      <c r="E7" s="2" t="s">
        <v>24</v>
      </c>
      <c r="F7" s="2">
        <v>90032</v>
      </c>
      <c r="G7" s="2" t="s">
        <v>25</v>
      </c>
      <c r="H7" s="2" t="s">
        <v>19</v>
      </c>
      <c r="I7" s="2" t="s">
        <v>33</v>
      </c>
      <c r="J7" s="2">
        <v>48.86</v>
      </c>
      <c r="K7" s="2">
        <v>7</v>
      </c>
      <c r="L7" s="4">
        <v>0</v>
      </c>
      <c r="M7" s="2">
        <v>14.1694</v>
      </c>
      <c r="N7" s="4">
        <f>Table1[[#This Row],[Profit]]/Table1[[#This Row],[Sales]]</f>
        <v>0.28999999999999998</v>
      </c>
      <c r="O7" s="2" t="str">
        <f>IF(Table1[[#This Row],[Sales]]&gt;500, "High Sales", "Low Sales")</f>
        <v>Low Sales</v>
      </c>
    </row>
    <row r="8" spans="1:15" x14ac:dyDescent="0.3">
      <c r="A8" s="2" t="s">
        <v>28</v>
      </c>
      <c r="B8" s="2" t="s">
        <v>14</v>
      </c>
      <c r="C8" s="2" t="s">
        <v>15</v>
      </c>
      <c r="D8" s="2" t="s">
        <v>23</v>
      </c>
      <c r="E8" s="2" t="s">
        <v>24</v>
      </c>
      <c r="F8" s="2">
        <v>90032</v>
      </c>
      <c r="G8" s="2" t="s">
        <v>25</v>
      </c>
      <c r="H8" s="2" t="s">
        <v>26</v>
      </c>
      <c r="I8" s="2" t="s">
        <v>34</v>
      </c>
      <c r="J8" s="2">
        <v>7.28</v>
      </c>
      <c r="K8" s="2">
        <v>4</v>
      </c>
      <c r="L8" s="4">
        <v>0</v>
      </c>
      <c r="M8" s="2">
        <v>1.9656</v>
      </c>
      <c r="N8" s="4">
        <f>Table1[[#This Row],[Profit]]/Table1[[#This Row],[Sales]]</f>
        <v>0.27</v>
      </c>
      <c r="O8" s="2" t="str">
        <f>IF(Table1[[#This Row],[Sales]]&gt;500, "High Sales", "Low Sales")</f>
        <v>Low Sales</v>
      </c>
    </row>
    <row r="9" spans="1:15" x14ac:dyDescent="0.3">
      <c r="A9" s="2" t="s">
        <v>28</v>
      </c>
      <c r="B9" s="2" t="s">
        <v>14</v>
      </c>
      <c r="C9" s="2" t="s">
        <v>15</v>
      </c>
      <c r="D9" s="2" t="s">
        <v>23</v>
      </c>
      <c r="E9" s="2" t="s">
        <v>24</v>
      </c>
      <c r="F9" s="2">
        <v>90032</v>
      </c>
      <c r="G9" s="2" t="s">
        <v>25</v>
      </c>
      <c r="H9" s="2" t="s">
        <v>35</v>
      </c>
      <c r="I9" s="2" t="s">
        <v>36</v>
      </c>
      <c r="J9" s="2">
        <v>907.15200000000004</v>
      </c>
      <c r="K9" s="2">
        <v>6</v>
      </c>
      <c r="L9" s="4">
        <v>0.2</v>
      </c>
      <c r="M9" s="2">
        <v>90.715199999999996</v>
      </c>
      <c r="N9" s="4">
        <f>Table1[[#This Row],[Profit]]/Table1[[#This Row],[Sales]]</f>
        <v>9.9999999999999992E-2</v>
      </c>
      <c r="O9" s="2" t="str">
        <f>IF(Table1[[#This Row],[Sales]]&gt;500, "High Sales", "Low Sales")</f>
        <v>High Sales</v>
      </c>
    </row>
    <row r="10" spans="1:15" x14ac:dyDescent="0.3">
      <c r="A10" s="2" t="s">
        <v>28</v>
      </c>
      <c r="B10" s="2" t="s">
        <v>14</v>
      </c>
      <c r="C10" s="2" t="s">
        <v>15</v>
      </c>
      <c r="D10" s="2" t="s">
        <v>23</v>
      </c>
      <c r="E10" s="2" t="s">
        <v>24</v>
      </c>
      <c r="F10" s="2">
        <v>90032</v>
      </c>
      <c r="G10" s="2" t="s">
        <v>25</v>
      </c>
      <c r="H10" s="2" t="s">
        <v>26</v>
      </c>
      <c r="I10" s="2" t="s">
        <v>37</v>
      </c>
      <c r="J10" s="2">
        <v>18.504000000000001</v>
      </c>
      <c r="K10" s="2">
        <v>3</v>
      </c>
      <c r="L10" s="4">
        <v>0.2</v>
      </c>
      <c r="M10" s="2">
        <v>5.7824999999999998</v>
      </c>
      <c r="N10" s="4">
        <f>Table1[[#This Row],[Profit]]/Table1[[#This Row],[Sales]]</f>
        <v>0.31249999999999994</v>
      </c>
      <c r="O10" s="2" t="str">
        <f>IF(Table1[[#This Row],[Sales]]&gt;500, "High Sales", "Low Sales")</f>
        <v>Low Sales</v>
      </c>
    </row>
    <row r="11" spans="1:15" x14ac:dyDescent="0.3">
      <c r="A11" s="2" t="s">
        <v>28</v>
      </c>
      <c r="B11" s="2" t="s">
        <v>14</v>
      </c>
      <c r="C11" s="2" t="s">
        <v>15</v>
      </c>
      <c r="D11" s="2" t="s">
        <v>23</v>
      </c>
      <c r="E11" s="2" t="s">
        <v>24</v>
      </c>
      <c r="F11" s="2">
        <v>90032</v>
      </c>
      <c r="G11" s="2" t="s">
        <v>25</v>
      </c>
      <c r="H11" s="2" t="s">
        <v>26</v>
      </c>
      <c r="I11" s="2" t="s">
        <v>38</v>
      </c>
      <c r="J11" s="2">
        <v>114.9</v>
      </c>
      <c r="K11" s="2">
        <v>5</v>
      </c>
      <c r="L11" s="4">
        <v>0</v>
      </c>
      <c r="M11" s="2">
        <v>34.47</v>
      </c>
      <c r="N11" s="4">
        <f>Table1[[#This Row],[Profit]]/Table1[[#This Row],[Sales]]</f>
        <v>0.3</v>
      </c>
      <c r="O11" s="2" t="str">
        <f>IF(Table1[[#This Row],[Sales]]&gt;500, "High Sales", "Low Sales")</f>
        <v>Low Sales</v>
      </c>
    </row>
    <row r="12" spans="1:15" x14ac:dyDescent="0.3">
      <c r="A12" s="2" t="s">
        <v>28</v>
      </c>
      <c r="B12" s="2" t="s">
        <v>14</v>
      </c>
      <c r="C12" s="2" t="s">
        <v>15</v>
      </c>
      <c r="D12" s="2" t="s">
        <v>23</v>
      </c>
      <c r="E12" s="2" t="s">
        <v>24</v>
      </c>
      <c r="F12" s="2">
        <v>90032</v>
      </c>
      <c r="G12" s="2" t="s">
        <v>25</v>
      </c>
      <c r="H12" s="2" t="s">
        <v>19</v>
      </c>
      <c r="I12" s="2" t="s">
        <v>31</v>
      </c>
      <c r="J12" s="2">
        <v>1706.184</v>
      </c>
      <c r="K12" s="2">
        <v>9</v>
      </c>
      <c r="L12" s="4">
        <v>0.2</v>
      </c>
      <c r="M12" s="2">
        <v>85.309200000000004</v>
      </c>
      <c r="N12" s="4">
        <f>Table1[[#This Row],[Profit]]/Table1[[#This Row],[Sales]]</f>
        <v>0.05</v>
      </c>
      <c r="O12" s="2" t="str">
        <f>IF(Table1[[#This Row],[Sales]]&gt;500, "High Sales", "Low Sales")</f>
        <v>High Sales</v>
      </c>
    </row>
    <row r="13" spans="1:15" x14ac:dyDescent="0.3">
      <c r="A13" s="2" t="s">
        <v>28</v>
      </c>
      <c r="B13" s="2" t="s">
        <v>14</v>
      </c>
      <c r="C13" s="2" t="s">
        <v>15</v>
      </c>
      <c r="D13" s="2" t="s">
        <v>23</v>
      </c>
      <c r="E13" s="2" t="s">
        <v>24</v>
      </c>
      <c r="F13" s="2">
        <v>90032</v>
      </c>
      <c r="G13" s="2" t="s">
        <v>25</v>
      </c>
      <c r="H13" s="2" t="s">
        <v>35</v>
      </c>
      <c r="I13" s="2" t="s">
        <v>36</v>
      </c>
      <c r="J13" s="2">
        <v>911.42399999999998</v>
      </c>
      <c r="K13" s="2">
        <v>4</v>
      </c>
      <c r="L13" s="4">
        <v>0.2</v>
      </c>
      <c r="M13" s="2">
        <v>68.356800000000007</v>
      </c>
      <c r="N13" s="4">
        <f>Table1[[#This Row],[Profit]]/Table1[[#This Row],[Sales]]</f>
        <v>7.5000000000000011E-2</v>
      </c>
      <c r="O13" s="2" t="str">
        <f>IF(Table1[[#This Row],[Sales]]&gt;500, "High Sales", "Low Sales")</f>
        <v>High Sales</v>
      </c>
    </row>
    <row r="14" spans="1:15" x14ac:dyDescent="0.3">
      <c r="A14" s="2" t="s">
        <v>28</v>
      </c>
      <c r="B14" s="2" t="s">
        <v>14</v>
      </c>
      <c r="C14" s="2" t="s">
        <v>15</v>
      </c>
      <c r="D14" s="2" t="s">
        <v>39</v>
      </c>
      <c r="E14" s="2" t="s">
        <v>40</v>
      </c>
      <c r="F14" s="2">
        <v>28027</v>
      </c>
      <c r="G14" s="2" t="s">
        <v>18</v>
      </c>
      <c r="H14" s="2" t="s">
        <v>26</v>
      </c>
      <c r="I14" s="2" t="s">
        <v>41</v>
      </c>
      <c r="J14" s="2">
        <v>15.552</v>
      </c>
      <c r="K14" s="2">
        <v>3</v>
      </c>
      <c r="L14" s="4">
        <v>0.2</v>
      </c>
      <c r="M14" s="2">
        <v>5.4432</v>
      </c>
      <c r="N14" s="4">
        <f>Table1[[#This Row],[Profit]]/Table1[[#This Row],[Sales]]</f>
        <v>0.35000000000000003</v>
      </c>
      <c r="O14" s="2" t="str">
        <f>IF(Table1[[#This Row],[Sales]]&gt;500, "High Sales", "Low Sales")</f>
        <v>Low Sales</v>
      </c>
    </row>
    <row r="15" spans="1:15" x14ac:dyDescent="0.3">
      <c r="A15" s="2" t="s">
        <v>28</v>
      </c>
      <c r="B15" s="2" t="s">
        <v>14</v>
      </c>
      <c r="C15" s="2" t="s">
        <v>15</v>
      </c>
      <c r="D15" s="2" t="s">
        <v>42</v>
      </c>
      <c r="E15" s="2" t="s">
        <v>43</v>
      </c>
      <c r="F15" s="2">
        <v>98103</v>
      </c>
      <c r="G15" s="2" t="s">
        <v>25</v>
      </c>
      <c r="H15" s="2" t="s">
        <v>26</v>
      </c>
      <c r="I15" s="2" t="s">
        <v>37</v>
      </c>
      <c r="J15" s="2">
        <v>407.976</v>
      </c>
      <c r="K15" s="2">
        <v>3</v>
      </c>
      <c r="L15" s="4">
        <v>0.2</v>
      </c>
      <c r="M15" s="2">
        <v>132.59219999999999</v>
      </c>
      <c r="N15" s="4">
        <f>Table1[[#This Row],[Profit]]/Table1[[#This Row],[Sales]]</f>
        <v>0.32499999999999996</v>
      </c>
      <c r="O15" s="2" t="str">
        <f>IF(Table1[[#This Row],[Sales]]&gt;500, "High Sales", "Low Sales")</f>
        <v>Low Sales</v>
      </c>
    </row>
    <row r="16" spans="1:15" x14ac:dyDescent="0.3">
      <c r="A16" s="2" t="s">
        <v>28</v>
      </c>
      <c r="B16" s="2" t="s">
        <v>44</v>
      </c>
      <c r="C16" s="2" t="s">
        <v>15</v>
      </c>
      <c r="D16" s="2" t="s">
        <v>45</v>
      </c>
      <c r="E16" s="2" t="s">
        <v>46</v>
      </c>
      <c r="F16" s="2">
        <v>76106</v>
      </c>
      <c r="G16" s="2" t="s">
        <v>47</v>
      </c>
      <c r="H16" s="2" t="s">
        <v>26</v>
      </c>
      <c r="I16" s="2" t="s">
        <v>38</v>
      </c>
      <c r="J16" s="2">
        <v>68.81</v>
      </c>
      <c r="K16" s="2">
        <v>5</v>
      </c>
      <c r="L16" s="4">
        <v>0.8</v>
      </c>
      <c r="M16" s="2">
        <v>-123.858</v>
      </c>
      <c r="N16" s="4">
        <f>Table1[[#This Row],[Profit]]/Table1[[#This Row],[Sales]]</f>
        <v>-1.8</v>
      </c>
      <c r="O16" s="2" t="str">
        <f>IF(Table1[[#This Row],[Sales]]&gt;500, "High Sales", "Low Sales")</f>
        <v>Low Sales</v>
      </c>
    </row>
    <row r="17" spans="1:15" x14ac:dyDescent="0.3">
      <c r="A17" s="2" t="s">
        <v>28</v>
      </c>
      <c r="B17" s="2" t="s">
        <v>44</v>
      </c>
      <c r="C17" s="2" t="s">
        <v>15</v>
      </c>
      <c r="D17" s="2" t="s">
        <v>45</v>
      </c>
      <c r="E17" s="2" t="s">
        <v>46</v>
      </c>
      <c r="F17" s="2">
        <v>76106</v>
      </c>
      <c r="G17" s="2" t="s">
        <v>47</v>
      </c>
      <c r="H17" s="2" t="s">
        <v>26</v>
      </c>
      <c r="I17" s="2" t="s">
        <v>37</v>
      </c>
      <c r="J17" s="2">
        <v>2.544</v>
      </c>
      <c r="K17" s="2">
        <v>3</v>
      </c>
      <c r="L17" s="4">
        <v>0.8</v>
      </c>
      <c r="M17" s="2">
        <v>-3.8159999999999998</v>
      </c>
      <c r="N17" s="4">
        <f>Table1[[#This Row],[Profit]]/Table1[[#This Row],[Sales]]</f>
        <v>-1.5</v>
      </c>
      <c r="O17" s="2" t="str">
        <f>IF(Table1[[#This Row],[Sales]]&gt;500, "High Sales", "Low Sales")</f>
        <v>Low Sales</v>
      </c>
    </row>
    <row r="18" spans="1:15" x14ac:dyDescent="0.3">
      <c r="A18" s="2" t="s">
        <v>28</v>
      </c>
      <c r="B18" s="2" t="s">
        <v>14</v>
      </c>
      <c r="C18" s="2" t="s">
        <v>15</v>
      </c>
      <c r="D18" s="2" t="s">
        <v>48</v>
      </c>
      <c r="E18" s="2" t="s">
        <v>49</v>
      </c>
      <c r="F18" s="2">
        <v>53711</v>
      </c>
      <c r="G18" s="2" t="s">
        <v>47</v>
      </c>
      <c r="H18" s="2" t="s">
        <v>26</v>
      </c>
      <c r="I18" s="2" t="s">
        <v>32</v>
      </c>
      <c r="J18" s="2">
        <v>665.88</v>
      </c>
      <c r="K18" s="2">
        <v>6</v>
      </c>
      <c r="L18" s="4">
        <v>0</v>
      </c>
      <c r="M18" s="2">
        <v>13.317600000000001</v>
      </c>
      <c r="N18" s="4">
        <f>Table1[[#This Row],[Profit]]/Table1[[#This Row],[Sales]]</f>
        <v>0.02</v>
      </c>
      <c r="O18" s="2" t="str">
        <f>IF(Table1[[#This Row],[Sales]]&gt;500, "High Sales", "Low Sales")</f>
        <v>High Sales</v>
      </c>
    </row>
    <row r="19" spans="1:15" x14ac:dyDescent="0.3">
      <c r="A19" s="2" t="s">
        <v>13</v>
      </c>
      <c r="B19" s="2" t="s">
        <v>14</v>
      </c>
      <c r="C19" s="2" t="s">
        <v>15</v>
      </c>
      <c r="D19" s="2" t="s">
        <v>50</v>
      </c>
      <c r="E19" s="2" t="s">
        <v>51</v>
      </c>
      <c r="F19" s="2">
        <v>84084</v>
      </c>
      <c r="G19" s="2" t="s">
        <v>25</v>
      </c>
      <c r="H19" s="2" t="s">
        <v>26</v>
      </c>
      <c r="I19" s="2" t="s">
        <v>32</v>
      </c>
      <c r="J19" s="2">
        <v>55.5</v>
      </c>
      <c r="K19" s="2">
        <v>2</v>
      </c>
      <c r="L19" s="4">
        <v>0</v>
      </c>
      <c r="M19" s="2">
        <v>9.99</v>
      </c>
      <c r="N19" s="4">
        <f>Table1[[#This Row],[Profit]]/Table1[[#This Row],[Sales]]</f>
        <v>0.18</v>
      </c>
      <c r="O19" s="2" t="str">
        <f>IF(Table1[[#This Row],[Sales]]&gt;500, "High Sales", "Low Sales")</f>
        <v>Low Sales</v>
      </c>
    </row>
    <row r="20" spans="1:15" x14ac:dyDescent="0.3">
      <c r="A20" s="2" t="s">
        <v>13</v>
      </c>
      <c r="B20" s="2" t="s">
        <v>14</v>
      </c>
      <c r="C20" s="2" t="s">
        <v>15</v>
      </c>
      <c r="D20" s="2" t="s">
        <v>52</v>
      </c>
      <c r="E20" s="2" t="s">
        <v>24</v>
      </c>
      <c r="F20" s="2">
        <v>94109</v>
      </c>
      <c r="G20" s="2" t="s">
        <v>25</v>
      </c>
      <c r="H20" s="2" t="s">
        <v>26</v>
      </c>
      <c r="I20" s="2" t="s">
        <v>34</v>
      </c>
      <c r="J20" s="2">
        <v>8.56</v>
      </c>
      <c r="K20" s="2">
        <v>2</v>
      </c>
      <c r="L20" s="4">
        <v>0</v>
      </c>
      <c r="M20" s="2">
        <v>2.4824000000000002</v>
      </c>
      <c r="N20" s="4">
        <f>Table1[[#This Row],[Profit]]/Table1[[#This Row],[Sales]]</f>
        <v>0.28999999999999998</v>
      </c>
      <c r="O20" s="2" t="str">
        <f>IF(Table1[[#This Row],[Sales]]&gt;500, "High Sales", "Low Sales")</f>
        <v>Low Sales</v>
      </c>
    </row>
    <row r="21" spans="1:15" x14ac:dyDescent="0.3">
      <c r="A21" s="2" t="s">
        <v>13</v>
      </c>
      <c r="B21" s="2" t="s">
        <v>14</v>
      </c>
      <c r="C21" s="2" t="s">
        <v>15</v>
      </c>
      <c r="D21" s="2" t="s">
        <v>52</v>
      </c>
      <c r="E21" s="2" t="s">
        <v>24</v>
      </c>
      <c r="F21" s="2">
        <v>94109</v>
      </c>
      <c r="G21" s="2" t="s">
        <v>25</v>
      </c>
      <c r="H21" s="2" t="s">
        <v>35</v>
      </c>
      <c r="I21" s="2" t="s">
        <v>36</v>
      </c>
      <c r="J21" s="2">
        <v>213.48</v>
      </c>
      <c r="K21" s="2">
        <v>3</v>
      </c>
      <c r="L21" s="4">
        <v>0.2</v>
      </c>
      <c r="M21" s="2">
        <v>16.010999999999999</v>
      </c>
      <c r="N21" s="4">
        <f>Table1[[#This Row],[Profit]]/Table1[[#This Row],[Sales]]</f>
        <v>7.4999999999999997E-2</v>
      </c>
      <c r="O21" s="2" t="str">
        <f>IF(Table1[[#This Row],[Sales]]&gt;500, "High Sales", "Low Sales")</f>
        <v>Low Sales</v>
      </c>
    </row>
    <row r="22" spans="1:15" x14ac:dyDescent="0.3">
      <c r="A22" s="2" t="s">
        <v>13</v>
      </c>
      <c r="B22" s="2" t="s">
        <v>14</v>
      </c>
      <c r="C22" s="2" t="s">
        <v>15</v>
      </c>
      <c r="D22" s="2" t="s">
        <v>52</v>
      </c>
      <c r="E22" s="2" t="s">
        <v>24</v>
      </c>
      <c r="F22" s="2">
        <v>94109</v>
      </c>
      <c r="G22" s="2" t="s">
        <v>25</v>
      </c>
      <c r="H22" s="2" t="s">
        <v>26</v>
      </c>
      <c r="I22" s="2" t="s">
        <v>37</v>
      </c>
      <c r="J22" s="2">
        <v>22.72</v>
      </c>
      <c r="K22" s="2">
        <v>4</v>
      </c>
      <c r="L22" s="4">
        <v>0.2</v>
      </c>
      <c r="M22" s="2">
        <v>7.3840000000000003</v>
      </c>
      <c r="N22" s="4">
        <f>Table1[[#This Row],[Profit]]/Table1[[#This Row],[Sales]]</f>
        <v>0.32500000000000001</v>
      </c>
      <c r="O22" s="2" t="str">
        <f>IF(Table1[[#This Row],[Sales]]&gt;500, "High Sales", "Low Sales")</f>
        <v>Low Sales</v>
      </c>
    </row>
    <row r="23" spans="1:15" x14ac:dyDescent="0.3">
      <c r="A23" s="2" t="s">
        <v>28</v>
      </c>
      <c r="B23" s="2" t="s">
        <v>22</v>
      </c>
      <c r="C23" s="2" t="s">
        <v>15</v>
      </c>
      <c r="D23" s="2" t="s">
        <v>53</v>
      </c>
      <c r="E23" s="2" t="s">
        <v>54</v>
      </c>
      <c r="F23" s="2">
        <v>68025</v>
      </c>
      <c r="G23" s="2" t="s">
        <v>47</v>
      </c>
      <c r="H23" s="2" t="s">
        <v>26</v>
      </c>
      <c r="I23" s="2" t="s">
        <v>34</v>
      </c>
      <c r="J23" s="2">
        <v>19.46</v>
      </c>
      <c r="K23" s="2">
        <v>7</v>
      </c>
      <c r="L23" s="4">
        <v>0</v>
      </c>
      <c r="M23" s="2">
        <v>5.0595999999999997</v>
      </c>
      <c r="N23" s="4">
        <f>Table1[[#This Row],[Profit]]/Table1[[#This Row],[Sales]]</f>
        <v>0.25999999999999995</v>
      </c>
      <c r="O23" s="2" t="str">
        <f>IF(Table1[[#This Row],[Sales]]&gt;500, "High Sales", "Low Sales")</f>
        <v>Low Sales</v>
      </c>
    </row>
    <row r="24" spans="1:15" x14ac:dyDescent="0.3">
      <c r="A24" s="2" t="s">
        <v>28</v>
      </c>
      <c r="B24" s="2" t="s">
        <v>22</v>
      </c>
      <c r="C24" s="2" t="s">
        <v>15</v>
      </c>
      <c r="D24" s="2" t="s">
        <v>53</v>
      </c>
      <c r="E24" s="2" t="s">
        <v>54</v>
      </c>
      <c r="F24" s="2">
        <v>68025</v>
      </c>
      <c r="G24" s="2" t="s">
        <v>47</v>
      </c>
      <c r="H24" s="2" t="s">
        <v>26</v>
      </c>
      <c r="I24" s="2" t="s">
        <v>38</v>
      </c>
      <c r="J24" s="2">
        <v>60.34</v>
      </c>
      <c r="K24" s="2">
        <v>7</v>
      </c>
      <c r="L24" s="4">
        <v>0</v>
      </c>
      <c r="M24" s="2">
        <v>15.6884</v>
      </c>
      <c r="N24" s="4">
        <f>Table1[[#This Row],[Profit]]/Table1[[#This Row],[Sales]]</f>
        <v>0.25999999999999995</v>
      </c>
      <c r="O24" s="2" t="str">
        <f>IF(Table1[[#This Row],[Sales]]&gt;500, "High Sales", "Low Sales")</f>
        <v>Low Sales</v>
      </c>
    </row>
    <row r="25" spans="1:15" x14ac:dyDescent="0.3">
      <c r="A25" s="2" t="s">
        <v>13</v>
      </c>
      <c r="B25" s="2" t="s">
        <v>14</v>
      </c>
      <c r="C25" s="2" t="s">
        <v>15</v>
      </c>
      <c r="D25" s="2" t="s">
        <v>55</v>
      </c>
      <c r="E25" s="2" t="s">
        <v>56</v>
      </c>
      <c r="F25" s="2">
        <v>19140</v>
      </c>
      <c r="G25" s="2" t="s">
        <v>57</v>
      </c>
      <c r="H25" s="2" t="s">
        <v>19</v>
      </c>
      <c r="I25" s="2" t="s">
        <v>21</v>
      </c>
      <c r="J25" s="2">
        <v>71.372</v>
      </c>
      <c r="K25" s="2">
        <v>2</v>
      </c>
      <c r="L25" s="4">
        <v>0.3</v>
      </c>
      <c r="M25" s="2">
        <v>-1.0196000000000001</v>
      </c>
      <c r="N25" s="4">
        <f>Table1[[#This Row],[Profit]]/Table1[[#This Row],[Sales]]</f>
        <v>-1.4285714285714287E-2</v>
      </c>
      <c r="O25" s="2" t="str">
        <f>IF(Table1[[#This Row],[Sales]]&gt;500, "High Sales", "Low Sales")</f>
        <v>Low Sales</v>
      </c>
    </row>
    <row r="26" spans="1:15" x14ac:dyDescent="0.3">
      <c r="A26" s="2" t="s">
        <v>28</v>
      </c>
      <c r="B26" s="2" t="s">
        <v>14</v>
      </c>
      <c r="C26" s="2" t="s">
        <v>15</v>
      </c>
      <c r="D26" s="2" t="s">
        <v>58</v>
      </c>
      <c r="E26" s="2" t="s">
        <v>51</v>
      </c>
      <c r="F26" s="2">
        <v>84057</v>
      </c>
      <c r="G26" s="2" t="s">
        <v>25</v>
      </c>
      <c r="H26" s="2" t="s">
        <v>19</v>
      </c>
      <c r="I26" s="2" t="s">
        <v>31</v>
      </c>
      <c r="J26" s="2">
        <v>1044.6300000000001</v>
      </c>
      <c r="K26" s="2">
        <v>3</v>
      </c>
      <c r="L26" s="4">
        <v>0</v>
      </c>
      <c r="M26" s="2">
        <v>240.26490000000001</v>
      </c>
      <c r="N26" s="4">
        <f>Table1[[#This Row],[Profit]]/Table1[[#This Row],[Sales]]</f>
        <v>0.22999999999999998</v>
      </c>
      <c r="O26" s="2" t="str">
        <f>IF(Table1[[#This Row],[Sales]]&gt;500, "High Sales", "Low Sales")</f>
        <v>High Sales</v>
      </c>
    </row>
    <row r="27" spans="1:15" x14ac:dyDescent="0.3">
      <c r="A27" s="2" t="s">
        <v>13</v>
      </c>
      <c r="B27" s="2" t="s">
        <v>14</v>
      </c>
      <c r="C27" s="2" t="s">
        <v>15</v>
      </c>
      <c r="D27" s="2" t="s">
        <v>23</v>
      </c>
      <c r="E27" s="2" t="s">
        <v>24</v>
      </c>
      <c r="F27" s="2">
        <v>90049</v>
      </c>
      <c r="G27" s="2" t="s">
        <v>25</v>
      </c>
      <c r="H27" s="2" t="s">
        <v>26</v>
      </c>
      <c r="I27" s="2" t="s">
        <v>37</v>
      </c>
      <c r="J27" s="2">
        <v>11.648</v>
      </c>
      <c r="K27" s="2">
        <v>2</v>
      </c>
      <c r="L27" s="4">
        <v>0.2</v>
      </c>
      <c r="M27" s="2">
        <v>4.2224000000000004</v>
      </c>
      <c r="N27" s="4">
        <f>Table1[[#This Row],[Profit]]/Table1[[#This Row],[Sales]]</f>
        <v>0.36250000000000004</v>
      </c>
      <c r="O27" s="2" t="str">
        <f>IF(Table1[[#This Row],[Sales]]&gt;500, "High Sales", "Low Sales")</f>
        <v>Low Sales</v>
      </c>
    </row>
    <row r="28" spans="1:15" x14ac:dyDescent="0.3">
      <c r="A28" s="2" t="s">
        <v>13</v>
      </c>
      <c r="B28" s="2" t="s">
        <v>14</v>
      </c>
      <c r="C28" s="2" t="s">
        <v>15</v>
      </c>
      <c r="D28" s="2" t="s">
        <v>23</v>
      </c>
      <c r="E28" s="2" t="s">
        <v>24</v>
      </c>
      <c r="F28" s="2">
        <v>90049</v>
      </c>
      <c r="G28" s="2" t="s">
        <v>25</v>
      </c>
      <c r="H28" s="2" t="s">
        <v>35</v>
      </c>
      <c r="I28" s="2" t="s">
        <v>59</v>
      </c>
      <c r="J28" s="2">
        <v>90.57</v>
      </c>
      <c r="K28" s="2">
        <v>3</v>
      </c>
      <c r="L28" s="4">
        <v>0</v>
      </c>
      <c r="M28" s="2">
        <v>11.774100000000001</v>
      </c>
      <c r="N28" s="4">
        <f>Table1[[#This Row],[Profit]]/Table1[[#This Row],[Sales]]</f>
        <v>0.13</v>
      </c>
      <c r="O28" s="2" t="str">
        <f>IF(Table1[[#This Row],[Sales]]&gt;500, "High Sales", "Low Sales")</f>
        <v>Low Sales</v>
      </c>
    </row>
    <row r="29" spans="1:15" x14ac:dyDescent="0.3">
      <c r="A29" s="2" t="s">
        <v>28</v>
      </c>
      <c r="B29" s="2" t="s">
        <v>14</v>
      </c>
      <c r="C29" s="2" t="s">
        <v>15</v>
      </c>
      <c r="D29" s="2" t="s">
        <v>55</v>
      </c>
      <c r="E29" s="2" t="s">
        <v>56</v>
      </c>
      <c r="F29" s="2">
        <v>19140</v>
      </c>
      <c r="G29" s="2" t="s">
        <v>57</v>
      </c>
      <c r="H29" s="2" t="s">
        <v>19</v>
      </c>
      <c r="I29" s="2" t="s">
        <v>20</v>
      </c>
      <c r="J29" s="2">
        <v>3083.43</v>
      </c>
      <c r="K29" s="2">
        <v>7</v>
      </c>
      <c r="L29" s="4">
        <v>0.5</v>
      </c>
      <c r="M29" s="2">
        <v>-1665.0522000000001</v>
      </c>
      <c r="N29" s="4">
        <f>Table1[[#This Row],[Profit]]/Table1[[#This Row],[Sales]]</f>
        <v>-0.54</v>
      </c>
      <c r="O29" s="2" t="str">
        <f>IF(Table1[[#This Row],[Sales]]&gt;500, "High Sales", "Low Sales")</f>
        <v>High Sales</v>
      </c>
    </row>
    <row r="30" spans="1:15" x14ac:dyDescent="0.3">
      <c r="A30" s="2" t="s">
        <v>28</v>
      </c>
      <c r="B30" s="2" t="s">
        <v>14</v>
      </c>
      <c r="C30" s="2" t="s">
        <v>15</v>
      </c>
      <c r="D30" s="2" t="s">
        <v>55</v>
      </c>
      <c r="E30" s="2" t="s">
        <v>56</v>
      </c>
      <c r="F30" s="2">
        <v>19140</v>
      </c>
      <c r="G30" s="2" t="s">
        <v>57</v>
      </c>
      <c r="H30" s="2" t="s">
        <v>26</v>
      </c>
      <c r="I30" s="2" t="s">
        <v>37</v>
      </c>
      <c r="J30" s="2">
        <v>9.6180000000000003</v>
      </c>
      <c r="K30" s="2">
        <v>2</v>
      </c>
      <c r="L30" s="4">
        <v>0.7</v>
      </c>
      <c r="M30" s="2">
        <v>-7.0532000000000004</v>
      </c>
      <c r="N30" s="4">
        <f>Table1[[#This Row],[Profit]]/Table1[[#This Row],[Sales]]</f>
        <v>-0.73333333333333339</v>
      </c>
      <c r="O30" s="2" t="str">
        <f>IF(Table1[[#This Row],[Sales]]&gt;500, "High Sales", "Low Sales")</f>
        <v>Low Sales</v>
      </c>
    </row>
    <row r="31" spans="1:15" x14ac:dyDescent="0.3">
      <c r="A31" s="2" t="s">
        <v>28</v>
      </c>
      <c r="B31" s="2" t="s">
        <v>14</v>
      </c>
      <c r="C31" s="2" t="s">
        <v>15</v>
      </c>
      <c r="D31" s="2" t="s">
        <v>55</v>
      </c>
      <c r="E31" s="2" t="s">
        <v>56</v>
      </c>
      <c r="F31" s="2">
        <v>19140</v>
      </c>
      <c r="G31" s="2" t="s">
        <v>57</v>
      </c>
      <c r="H31" s="2" t="s">
        <v>19</v>
      </c>
      <c r="I31" s="2" t="s">
        <v>33</v>
      </c>
      <c r="J31" s="2">
        <v>124.2</v>
      </c>
      <c r="K31" s="2">
        <v>3</v>
      </c>
      <c r="L31" s="4">
        <v>0.2</v>
      </c>
      <c r="M31" s="2">
        <v>15.525</v>
      </c>
      <c r="N31" s="4">
        <f>Table1[[#This Row],[Profit]]/Table1[[#This Row],[Sales]]</f>
        <v>0.125</v>
      </c>
      <c r="O31" s="2" t="str">
        <f>IF(Table1[[#This Row],[Sales]]&gt;500, "High Sales", "Low Sales")</f>
        <v>Low Sales</v>
      </c>
    </row>
    <row r="32" spans="1:15" x14ac:dyDescent="0.3">
      <c r="A32" s="2" t="s">
        <v>28</v>
      </c>
      <c r="B32" s="2" t="s">
        <v>14</v>
      </c>
      <c r="C32" s="2" t="s">
        <v>15</v>
      </c>
      <c r="D32" s="2" t="s">
        <v>55</v>
      </c>
      <c r="E32" s="2" t="s">
        <v>56</v>
      </c>
      <c r="F32" s="2">
        <v>19140</v>
      </c>
      <c r="G32" s="2" t="s">
        <v>57</v>
      </c>
      <c r="H32" s="2" t="s">
        <v>26</v>
      </c>
      <c r="I32" s="2" t="s">
        <v>60</v>
      </c>
      <c r="J32" s="2">
        <v>3.2639999999999998</v>
      </c>
      <c r="K32" s="2">
        <v>2</v>
      </c>
      <c r="L32" s="4">
        <v>0.2</v>
      </c>
      <c r="M32" s="2">
        <v>1.1015999999999999</v>
      </c>
      <c r="N32" s="4">
        <f>Table1[[#This Row],[Profit]]/Table1[[#This Row],[Sales]]</f>
        <v>0.33750000000000002</v>
      </c>
      <c r="O32" s="2" t="str">
        <f>IF(Table1[[#This Row],[Sales]]&gt;500, "High Sales", "Low Sales")</f>
        <v>Low Sales</v>
      </c>
    </row>
    <row r="33" spans="1:15" x14ac:dyDescent="0.3">
      <c r="A33" s="2" t="s">
        <v>28</v>
      </c>
      <c r="B33" s="2" t="s">
        <v>14</v>
      </c>
      <c r="C33" s="2" t="s">
        <v>15</v>
      </c>
      <c r="D33" s="2" t="s">
        <v>55</v>
      </c>
      <c r="E33" s="2" t="s">
        <v>56</v>
      </c>
      <c r="F33" s="2">
        <v>19140</v>
      </c>
      <c r="G33" s="2" t="s">
        <v>57</v>
      </c>
      <c r="H33" s="2" t="s">
        <v>26</v>
      </c>
      <c r="I33" s="2" t="s">
        <v>34</v>
      </c>
      <c r="J33" s="2">
        <v>86.304000000000002</v>
      </c>
      <c r="K33" s="2">
        <v>6</v>
      </c>
      <c r="L33" s="4">
        <v>0.2</v>
      </c>
      <c r="M33" s="2">
        <v>9.7091999999999992</v>
      </c>
      <c r="N33" s="4">
        <f>Table1[[#This Row],[Profit]]/Table1[[#This Row],[Sales]]</f>
        <v>0.11249999999999999</v>
      </c>
      <c r="O33" s="2" t="str">
        <f>IF(Table1[[#This Row],[Sales]]&gt;500, "High Sales", "Low Sales")</f>
        <v>Low Sales</v>
      </c>
    </row>
    <row r="34" spans="1:15" x14ac:dyDescent="0.3">
      <c r="A34" s="2" t="s">
        <v>28</v>
      </c>
      <c r="B34" s="2" t="s">
        <v>14</v>
      </c>
      <c r="C34" s="2" t="s">
        <v>15</v>
      </c>
      <c r="D34" s="2" t="s">
        <v>55</v>
      </c>
      <c r="E34" s="2" t="s">
        <v>56</v>
      </c>
      <c r="F34" s="2">
        <v>19140</v>
      </c>
      <c r="G34" s="2" t="s">
        <v>57</v>
      </c>
      <c r="H34" s="2" t="s">
        <v>26</v>
      </c>
      <c r="I34" s="2" t="s">
        <v>37</v>
      </c>
      <c r="J34" s="2">
        <v>6.8579999999999997</v>
      </c>
      <c r="K34" s="2">
        <v>6</v>
      </c>
      <c r="L34" s="4">
        <v>0.7</v>
      </c>
      <c r="M34" s="2">
        <v>-5.7149999999999999</v>
      </c>
      <c r="N34" s="4">
        <f>Table1[[#This Row],[Profit]]/Table1[[#This Row],[Sales]]</f>
        <v>-0.83333333333333337</v>
      </c>
      <c r="O34" s="2" t="str">
        <f>IF(Table1[[#This Row],[Sales]]&gt;500, "High Sales", "Low Sales")</f>
        <v>Low Sales</v>
      </c>
    </row>
    <row r="35" spans="1:15" x14ac:dyDescent="0.3">
      <c r="A35" s="2" t="s">
        <v>28</v>
      </c>
      <c r="B35" s="2" t="s">
        <v>14</v>
      </c>
      <c r="C35" s="2" t="s">
        <v>15</v>
      </c>
      <c r="D35" s="2" t="s">
        <v>55</v>
      </c>
      <c r="E35" s="2" t="s">
        <v>56</v>
      </c>
      <c r="F35" s="2">
        <v>19140</v>
      </c>
      <c r="G35" s="2" t="s">
        <v>57</v>
      </c>
      <c r="H35" s="2" t="s">
        <v>26</v>
      </c>
      <c r="I35" s="2" t="s">
        <v>34</v>
      </c>
      <c r="J35" s="2">
        <v>15.76</v>
      </c>
      <c r="K35" s="2">
        <v>2</v>
      </c>
      <c r="L35" s="4">
        <v>0.2</v>
      </c>
      <c r="M35" s="2">
        <v>3.5459999999999998</v>
      </c>
      <c r="N35" s="4">
        <f>Table1[[#This Row],[Profit]]/Table1[[#This Row],[Sales]]</f>
        <v>0.22499999999999998</v>
      </c>
      <c r="O35" s="2" t="str">
        <f>IF(Table1[[#This Row],[Sales]]&gt;500, "High Sales", "Low Sales")</f>
        <v>Low Sales</v>
      </c>
    </row>
    <row r="36" spans="1:15" x14ac:dyDescent="0.3">
      <c r="A36" s="2" t="s">
        <v>13</v>
      </c>
      <c r="B36" s="2" t="s">
        <v>44</v>
      </c>
      <c r="C36" s="2" t="s">
        <v>15</v>
      </c>
      <c r="D36" s="2" t="s">
        <v>61</v>
      </c>
      <c r="E36" s="2" t="s">
        <v>46</v>
      </c>
      <c r="F36" s="2">
        <v>77095</v>
      </c>
      <c r="G36" s="2" t="s">
        <v>47</v>
      </c>
      <c r="H36" s="2" t="s">
        <v>26</v>
      </c>
      <c r="I36" s="2" t="s">
        <v>41</v>
      </c>
      <c r="J36" s="2">
        <v>29.472000000000001</v>
      </c>
      <c r="K36" s="2">
        <v>3</v>
      </c>
      <c r="L36" s="4">
        <v>0.2</v>
      </c>
      <c r="M36" s="2">
        <v>9.9467999999999996</v>
      </c>
      <c r="N36" s="4">
        <f>Table1[[#This Row],[Profit]]/Table1[[#This Row],[Sales]]</f>
        <v>0.33749999999999997</v>
      </c>
      <c r="O36" s="2" t="str">
        <f>IF(Table1[[#This Row],[Sales]]&gt;500, "High Sales", "Low Sales")</f>
        <v>Low Sales</v>
      </c>
    </row>
    <row r="37" spans="1:15" x14ac:dyDescent="0.3">
      <c r="A37" s="2" t="s">
        <v>62</v>
      </c>
      <c r="B37" s="2" t="s">
        <v>22</v>
      </c>
      <c r="C37" s="2" t="s">
        <v>15</v>
      </c>
      <c r="D37" s="2" t="s">
        <v>63</v>
      </c>
      <c r="E37" s="2" t="s">
        <v>46</v>
      </c>
      <c r="F37" s="2">
        <v>75080</v>
      </c>
      <c r="G37" s="2" t="s">
        <v>47</v>
      </c>
      <c r="H37" s="2" t="s">
        <v>35</v>
      </c>
      <c r="I37" s="2" t="s">
        <v>36</v>
      </c>
      <c r="J37" s="2">
        <v>1097.5440000000001</v>
      </c>
      <c r="K37" s="2">
        <v>7</v>
      </c>
      <c r="L37" s="4">
        <v>0.2</v>
      </c>
      <c r="M37" s="2">
        <v>123.47369999999999</v>
      </c>
      <c r="N37" s="4">
        <f>Table1[[#This Row],[Profit]]/Table1[[#This Row],[Sales]]</f>
        <v>0.11249999999999999</v>
      </c>
      <c r="O37" s="2" t="str">
        <f>IF(Table1[[#This Row],[Sales]]&gt;500, "High Sales", "Low Sales")</f>
        <v>High Sales</v>
      </c>
    </row>
    <row r="38" spans="1:15" x14ac:dyDescent="0.3">
      <c r="A38" s="2" t="s">
        <v>62</v>
      </c>
      <c r="B38" s="2" t="s">
        <v>22</v>
      </c>
      <c r="C38" s="2" t="s">
        <v>15</v>
      </c>
      <c r="D38" s="2" t="s">
        <v>63</v>
      </c>
      <c r="E38" s="2" t="s">
        <v>46</v>
      </c>
      <c r="F38" s="2">
        <v>75080</v>
      </c>
      <c r="G38" s="2" t="s">
        <v>47</v>
      </c>
      <c r="H38" s="2" t="s">
        <v>19</v>
      </c>
      <c r="I38" s="2" t="s">
        <v>33</v>
      </c>
      <c r="J38" s="2">
        <v>190.92</v>
      </c>
      <c r="K38" s="2">
        <v>5</v>
      </c>
      <c r="L38" s="4">
        <v>0.6</v>
      </c>
      <c r="M38" s="2">
        <v>-147.96299999999999</v>
      </c>
      <c r="N38" s="4">
        <f>Table1[[#This Row],[Profit]]/Table1[[#This Row],[Sales]]</f>
        <v>-0.77500000000000002</v>
      </c>
      <c r="O38" s="2" t="str">
        <f>IF(Table1[[#This Row],[Sales]]&gt;500, "High Sales", "Low Sales")</f>
        <v>Low Sales</v>
      </c>
    </row>
    <row r="39" spans="1:15" x14ac:dyDescent="0.3">
      <c r="A39" s="2" t="s">
        <v>28</v>
      </c>
      <c r="B39" s="2" t="s">
        <v>44</v>
      </c>
      <c r="C39" s="2" t="s">
        <v>15</v>
      </c>
      <c r="D39" s="2" t="s">
        <v>61</v>
      </c>
      <c r="E39" s="2" t="s">
        <v>46</v>
      </c>
      <c r="F39" s="2">
        <v>77041</v>
      </c>
      <c r="G39" s="2" t="s">
        <v>47</v>
      </c>
      <c r="H39" s="2" t="s">
        <v>26</v>
      </c>
      <c r="I39" s="2" t="s">
        <v>60</v>
      </c>
      <c r="J39" s="2">
        <v>113.328</v>
      </c>
      <c r="K39" s="2">
        <v>9</v>
      </c>
      <c r="L39" s="4">
        <v>0.2</v>
      </c>
      <c r="M39" s="2">
        <v>35.414999999999999</v>
      </c>
      <c r="N39" s="4">
        <f>Table1[[#This Row],[Profit]]/Table1[[#This Row],[Sales]]</f>
        <v>0.3125</v>
      </c>
      <c r="O39" s="2" t="str">
        <f>IF(Table1[[#This Row],[Sales]]&gt;500, "High Sales", "Low Sales")</f>
        <v>Low Sales</v>
      </c>
    </row>
    <row r="40" spans="1:15" x14ac:dyDescent="0.3">
      <c r="A40" s="2" t="s">
        <v>28</v>
      </c>
      <c r="B40" s="2" t="s">
        <v>44</v>
      </c>
      <c r="C40" s="2" t="s">
        <v>15</v>
      </c>
      <c r="D40" s="2" t="s">
        <v>61</v>
      </c>
      <c r="E40" s="2" t="s">
        <v>46</v>
      </c>
      <c r="F40" s="2">
        <v>77041</v>
      </c>
      <c r="G40" s="2" t="s">
        <v>47</v>
      </c>
      <c r="H40" s="2" t="s">
        <v>19</v>
      </c>
      <c r="I40" s="2" t="s">
        <v>20</v>
      </c>
      <c r="J40" s="2">
        <v>532.39919999999995</v>
      </c>
      <c r="K40" s="2">
        <v>3</v>
      </c>
      <c r="L40" s="4">
        <v>0.32</v>
      </c>
      <c r="M40" s="2">
        <v>-46.976399999999998</v>
      </c>
      <c r="N40" s="4">
        <f>Table1[[#This Row],[Profit]]/Table1[[#This Row],[Sales]]</f>
        <v>-8.8235294117647065E-2</v>
      </c>
      <c r="O40" s="2" t="str">
        <f>IF(Table1[[#This Row],[Sales]]&gt;500, "High Sales", "Low Sales")</f>
        <v>High Sales</v>
      </c>
    </row>
    <row r="41" spans="1:15" x14ac:dyDescent="0.3">
      <c r="A41" s="2" t="s">
        <v>28</v>
      </c>
      <c r="B41" s="2" t="s">
        <v>44</v>
      </c>
      <c r="C41" s="2" t="s">
        <v>15</v>
      </c>
      <c r="D41" s="2" t="s">
        <v>61</v>
      </c>
      <c r="E41" s="2" t="s">
        <v>46</v>
      </c>
      <c r="F41" s="2">
        <v>77041</v>
      </c>
      <c r="G41" s="2" t="s">
        <v>47</v>
      </c>
      <c r="H41" s="2" t="s">
        <v>19</v>
      </c>
      <c r="I41" s="2" t="s">
        <v>21</v>
      </c>
      <c r="J41" s="2">
        <v>212.05799999999999</v>
      </c>
      <c r="K41" s="2">
        <v>3</v>
      </c>
      <c r="L41" s="4">
        <v>0.3</v>
      </c>
      <c r="M41" s="2">
        <v>-15.147</v>
      </c>
      <c r="N41" s="4">
        <f>Table1[[#This Row],[Profit]]/Table1[[#This Row],[Sales]]</f>
        <v>-7.1428571428571438E-2</v>
      </c>
      <c r="O41" s="2" t="str">
        <f>IF(Table1[[#This Row],[Sales]]&gt;500, "High Sales", "Low Sales")</f>
        <v>Low Sales</v>
      </c>
    </row>
    <row r="42" spans="1:15" x14ac:dyDescent="0.3">
      <c r="A42" s="2" t="s">
        <v>28</v>
      </c>
      <c r="B42" s="2" t="s">
        <v>44</v>
      </c>
      <c r="C42" s="2" t="s">
        <v>15</v>
      </c>
      <c r="D42" s="2" t="s">
        <v>61</v>
      </c>
      <c r="E42" s="2" t="s">
        <v>46</v>
      </c>
      <c r="F42" s="2">
        <v>77041</v>
      </c>
      <c r="G42" s="2" t="s">
        <v>47</v>
      </c>
      <c r="H42" s="2" t="s">
        <v>35</v>
      </c>
      <c r="I42" s="2" t="s">
        <v>36</v>
      </c>
      <c r="J42" s="2">
        <v>371.16800000000001</v>
      </c>
      <c r="K42" s="2">
        <v>4</v>
      </c>
      <c r="L42" s="4">
        <v>0.2</v>
      </c>
      <c r="M42" s="2">
        <v>41.756399999999999</v>
      </c>
      <c r="N42" s="4">
        <f>Table1[[#This Row],[Profit]]/Table1[[#This Row],[Sales]]</f>
        <v>0.1125</v>
      </c>
      <c r="O42" s="2" t="str">
        <f>IF(Table1[[#This Row],[Sales]]&gt;500, "High Sales", "Low Sales")</f>
        <v>Low Sales</v>
      </c>
    </row>
    <row r="43" spans="1:15" x14ac:dyDescent="0.3">
      <c r="A43" s="2" t="s">
        <v>28</v>
      </c>
      <c r="B43" s="2" t="s">
        <v>22</v>
      </c>
      <c r="C43" s="2" t="s">
        <v>15</v>
      </c>
      <c r="D43" s="2" t="s">
        <v>64</v>
      </c>
      <c r="E43" s="2" t="s">
        <v>65</v>
      </c>
      <c r="F43" s="2">
        <v>60540</v>
      </c>
      <c r="G43" s="2" t="s">
        <v>47</v>
      </c>
      <c r="H43" s="2" t="s">
        <v>35</v>
      </c>
      <c r="I43" s="2" t="s">
        <v>36</v>
      </c>
      <c r="J43" s="2">
        <v>147.16800000000001</v>
      </c>
      <c r="K43" s="2">
        <v>4</v>
      </c>
      <c r="L43" s="4">
        <v>0.2</v>
      </c>
      <c r="M43" s="2">
        <v>16.5564</v>
      </c>
      <c r="N43" s="4">
        <f>Table1[[#This Row],[Profit]]/Table1[[#This Row],[Sales]]</f>
        <v>0.11249999999999999</v>
      </c>
      <c r="O43" s="2" t="str">
        <f>IF(Table1[[#This Row],[Sales]]&gt;500, "High Sales", "Low Sales")</f>
        <v>Low Sales</v>
      </c>
    </row>
    <row r="44" spans="1:15" x14ac:dyDescent="0.3">
      <c r="A44" s="2" t="s">
        <v>28</v>
      </c>
      <c r="B44" s="2" t="s">
        <v>22</v>
      </c>
      <c r="C44" s="2" t="s">
        <v>15</v>
      </c>
      <c r="D44" s="2" t="s">
        <v>23</v>
      </c>
      <c r="E44" s="2" t="s">
        <v>24</v>
      </c>
      <c r="F44" s="2">
        <v>90049</v>
      </c>
      <c r="G44" s="2" t="s">
        <v>25</v>
      </c>
      <c r="H44" s="2" t="s">
        <v>26</v>
      </c>
      <c r="I44" s="2" t="s">
        <v>32</v>
      </c>
      <c r="J44" s="2">
        <v>77.88</v>
      </c>
      <c r="K44" s="2">
        <v>2</v>
      </c>
      <c r="L44" s="4">
        <v>0</v>
      </c>
      <c r="M44" s="2">
        <v>3.8940000000000001</v>
      </c>
      <c r="N44" s="4">
        <f>Table1[[#This Row],[Profit]]/Table1[[#This Row],[Sales]]</f>
        <v>0.05</v>
      </c>
      <c r="O44" s="2" t="str">
        <f>IF(Table1[[#This Row],[Sales]]&gt;500, "High Sales", "Low Sales")</f>
        <v>Low Sales</v>
      </c>
    </row>
    <row r="45" spans="1:15" x14ac:dyDescent="0.3">
      <c r="A45" s="2" t="s">
        <v>28</v>
      </c>
      <c r="B45" s="2" t="s">
        <v>22</v>
      </c>
      <c r="C45" s="2" t="s">
        <v>15</v>
      </c>
      <c r="D45" s="2" t="s">
        <v>66</v>
      </c>
      <c r="E45" s="2" t="s">
        <v>30</v>
      </c>
      <c r="F45" s="2">
        <v>32935</v>
      </c>
      <c r="G45" s="2" t="s">
        <v>18</v>
      </c>
      <c r="H45" s="2" t="s">
        <v>26</v>
      </c>
      <c r="I45" s="2" t="s">
        <v>32</v>
      </c>
      <c r="J45" s="2">
        <v>95.616</v>
      </c>
      <c r="K45" s="2">
        <v>2</v>
      </c>
      <c r="L45" s="4">
        <v>0.2</v>
      </c>
      <c r="M45" s="2">
        <v>9.5616000000000003</v>
      </c>
      <c r="N45" s="4">
        <f>Table1[[#This Row],[Profit]]/Table1[[#This Row],[Sales]]</f>
        <v>0.1</v>
      </c>
      <c r="O45" s="2" t="str">
        <f>IF(Table1[[#This Row],[Sales]]&gt;500, "High Sales", "Low Sales")</f>
        <v>Low Sales</v>
      </c>
    </row>
    <row r="46" spans="1:15" x14ac:dyDescent="0.3">
      <c r="A46" s="2" t="s">
        <v>62</v>
      </c>
      <c r="B46" s="2" t="s">
        <v>22</v>
      </c>
      <c r="C46" s="2" t="s">
        <v>15</v>
      </c>
      <c r="D46" s="2" t="s">
        <v>67</v>
      </c>
      <c r="E46" s="2" t="s">
        <v>68</v>
      </c>
      <c r="F46" s="2">
        <v>55122</v>
      </c>
      <c r="G46" s="2" t="s">
        <v>47</v>
      </c>
      <c r="H46" s="2" t="s">
        <v>35</v>
      </c>
      <c r="I46" s="2" t="s">
        <v>59</v>
      </c>
      <c r="J46" s="2">
        <v>45.98</v>
      </c>
      <c r="K46" s="2">
        <v>2</v>
      </c>
      <c r="L46" s="4">
        <v>0</v>
      </c>
      <c r="M46" s="2">
        <v>19.7714</v>
      </c>
      <c r="N46" s="4">
        <f>Table1[[#This Row],[Profit]]/Table1[[#This Row],[Sales]]</f>
        <v>0.43000000000000005</v>
      </c>
      <c r="O46" s="2" t="str">
        <f>IF(Table1[[#This Row],[Sales]]&gt;500, "High Sales", "Low Sales")</f>
        <v>Low Sales</v>
      </c>
    </row>
    <row r="47" spans="1:15" x14ac:dyDescent="0.3">
      <c r="A47" s="2" t="s">
        <v>62</v>
      </c>
      <c r="B47" s="2" t="s">
        <v>22</v>
      </c>
      <c r="C47" s="2" t="s">
        <v>15</v>
      </c>
      <c r="D47" s="2" t="s">
        <v>67</v>
      </c>
      <c r="E47" s="2" t="s">
        <v>68</v>
      </c>
      <c r="F47" s="2">
        <v>55122</v>
      </c>
      <c r="G47" s="2" t="s">
        <v>47</v>
      </c>
      <c r="H47" s="2" t="s">
        <v>26</v>
      </c>
      <c r="I47" s="2" t="s">
        <v>37</v>
      </c>
      <c r="J47" s="2">
        <v>17.46</v>
      </c>
      <c r="K47" s="2">
        <v>2</v>
      </c>
      <c r="L47" s="4">
        <v>0</v>
      </c>
      <c r="M47" s="2">
        <v>8.2062000000000008</v>
      </c>
      <c r="N47" s="4">
        <f>Table1[[#This Row],[Profit]]/Table1[[#This Row],[Sales]]</f>
        <v>0.47000000000000003</v>
      </c>
      <c r="O47" s="2" t="str">
        <f>IF(Table1[[#This Row],[Sales]]&gt;500, "High Sales", "Low Sales")</f>
        <v>Low Sales</v>
      </c>
    </row>
    <row r="48" spans="1:15" x14ac:dyDescent="0.3">
      <c r="A48" s="2" t="s">
        <v>13</v>
      </c>
      <c r="B48" s="2" t="s">
        <v>14</v>
      </c>
      <c r="C48" s="2" t="s">
        <v>15</v>
      </c>
      <c r="D48" s="2" t="s">
        <v>69</v>
      </c>
      <c r="E48" s="2" t="s">
        <v>70</v>
      </c>
      <c r="F48" s="2">
        <v>48185</v>
      </c>
      <c r="G48" s="2" t="s">
        <v>47</v>
      </c>
      <c r="H48" s="2" t="s">
        <v>26</v>
      </c>
      <c r="I48" s="2" t="s">
        <v>32</v>
      </c>
      <c r="J48" s="2">
        <v>211.96</v>
      </c>
      <c r="K48" s="2">
        <v>4</v>
      </c>
      <c r="L48" s="4">
        <v>0</v>
      </c>
      <c r="M48" s="2">
        <v>8.4784000000000006</v>
      </c>
      <c r="N48" s="4">
        <f>Table1[[#This Row],[Profit]]/Table1[[#This Row],[Sales]]</f>
        <v>0.04</v>
      </c>
      <c r="O48" s="2" t="str">
        <f>IF(Table1[[#This Row],[Sales]]&gt;500, "High Sales", "Low Sales")</f>
        <v>Low Sales</v>
      </c>
    </row>
    <row r="49" spans="1:15" x14ac:dyDescent="0.3">
      <c r="A49" s="2" t="s">
        <v>28</v>
      </c>
      <c r="B49" s="2" t="s">
        <v>14</v>
      </c>
      <c r="C49" s="2" t="s">
        <v>15</v>
      </c>
      <c r="D49" s="2" t="s">
        <v>71</v>
      </c>
      <c r="E49" s="2" t="s">
        <v>72</v>
      </c>
      <c r="F49" s="2">
        <v>19901</v>
      </c>
      <c r="G49" s="2" t="s">
        <v>57</v>
      </c>
      <c r="H49" s="2" t="s">
        <v>35</v>
      </c>
      <c r="I49" s="2" t="s">
        <v>59</v>
      </c>
      <c r="J49" s="2">
        <v>45</v>
      </c>
      <c r="K49" s="2">
        <v>3</v>
      </c>
      <c r="L49" s="4">
        <v>0</v>
      </c>
      <c r="M49" s="2">
        <v>4.95</v>
      </c>
      <c r="N49" s="4">
        <f>Table1[[#This Row],[Profit]]/Table1[[#This Row],[Sales]]</f>
        <v>0.11</v>
      </c>
      <c r="O49" s="2" t="str">
        <f>IF(Table1[[#This Row],[Sales]]&gt;500, "High Sales", "Low Sales")</f>
        <v>Low Sales</v>
      </c>
    </row>
    <row r="50" spans="1:15" x14ac:dyDescent="0.3">
      <c r="A50" s="2" t="s">
        <v>28</v>
      </c>
      <c r="B50" s="2" t="s">
        <v>14</v>
      </c>
      <c r="C50" s="2" t="s">
        <v>15</v>
      </c>
      <c r="D50" s="2" t="s">
        <v>71</v>
      </c>
      <c r="E50" s="2" t="s">
        <v>72</v>
      </c>
      <c r="F50" s="2">
        <v>19901</v>
      </c>
      <c r="G50" s="2" t="s">
        <v>57</v>
      </c>
      <c r="H50" s="2" t="s">
        <v>35</v>
      </c>
      <c r="I50" s="2" t="s">
        <v>36</v>
      </c>
      <c r="J50" s="2">
        <v>21.8</v>
      </c>
      <c r="K50" s="2">
        <v>2</v>
      </c>
      <c r="L50" s="4">
        <v>0</v>
      </c>
      <c r="M50" s="2">
        <v>6.1040000000000001</v>
      </c>
      <c r="N50" s="4">
        <f>Table1[[#This Row],[Profit]]/Table1[[#This Row],[Sales]]</f>
        <v>0.27999999999999997</v>
      </c>
      <c r="O50" s="2" t="str">
        <f>IF(Table1[[#This Row],[Sales]]&gt;500, "High Sales", "Low Sales")</f>
        <v>Low Sales</v>
      </c>
    </row>
    <row r="51" spans="1:15" x14ac:dyDescent="0.3">
      <c r="A51" s="2" t="s">
        <v>28</v>
      </c>
      <c r="B51" s="2" t="s">
        <v>14</v>
      </c>
      <c r="C51" s="2" t="s">
        <v>15</v>
      </c>
      <c r="D51" s="2" t="s">
        <v>73</v>
      </c>
      <c r="E51" s="2" t="s">
        <v>74</v>
      </c>
      <c r="F51" s="2">
        <v>47150</v>
      </c>
      <c r="G51" s="2" t="s">
        <v>47</v>
      </c>
      <c r="H51" s="2" t="s">
        <v>26</v>
      </c>
      <c r="I51" s="2" t="s">
        <v>37</v>
      </c>
      <c r="J51" s="2">
        <v>38.22</v>
      </c>
      <c r="K51" s="2">
        <v>6</v>
      </c>
      <c r="L51" s="4">
        <v>0</v>
      </c>
      <c r="M51" s="2">
        <v>17.9634</v>
      </c>
      <c r="N51" s="4">
        <f>Table1[[#This Row],[Profit]]/Table1[[#This Row],[Sales]]</f>
        <v>0.47000000000000003</v>
      </c>
      <c r="O51" s="2" t="str">
        <f>IF(Table1[[#This Row],[Sales]]&gt;500, "High Sales", "Low Sales")</f>
        <v>Low Sales</v>
      </c>
    </row>
    <row r="52" spans="1:15" x14ac:dyDescent="0.3">
      <c r="A52" s="2" t="s">
        <v>28</v>
      </c>
      <c r="B52" s="2" t="s">
        <v>14</v>
      </c>
      <c r="C52" s="2" t="s">
        <v>15</v>
      </c>
      <c r="D52" s="2" t="s">
        <v>73</v>
      </c>
      <c r="E52" s="2" t="s">
        <v>74</v>
      </c>
      <c r="F52" s="2">
        <v>47150</v>
      </c>
      <c r="G52" s="2" t="s">
        <v>47</v>
      </c>
      <c r="H52" s="2" t="s">
        <v>26</v>
      </c>
      <c r="I52" s="2" t="s">
        <v>27</v>
      </c>
      <c r="J52" s="2">
        <v>75.180000000000007</v>
      </c>
      <c r="K52" s="2">
        <v>6</v>
      </c>
      <c r="L52" s="4">
        <v>0</v>
      </c>
      <c r="M52" s="2">
        <v>35.334600000000002</v>
      </c>
      <c r="N52" s="4">
        <f>Table1[[#This Row],[Profit]]/Table1[[#This Row],[Sales]]</f>
        <v>0.47</v>
      </c>
      <c r="O52" s="2" t="str">
        <f>IF(Table1[[#This Row],[Sales]]&gt;500, "High Sales", "Low Sales")</f>
        <v>Low Sales</v>
      </c>
    </row>
    <row r="53" spans="1:15" x14ac:dyDescent="0.3">
      <c r="A53" s="2" t="s">
        <v>28</v>
      </c>
      <c r="B53" s="2" t="s">
        <v>14</v>
      </c>
      <c r="C53" s="2" t="s">
        <v>15</v>
      </c>
      <c r="D53" s="2" t="s">
        <v>73</v>
      </c>
      <c r="E53" s="2" t="s">
        <v>74</v>
      </c>
      <c r="F53" s="2">
        <v>47150</v>
      </c>
      <c r="G53" s="2" t="s">
        <v>47</v>
      </c>
      <c r="H53" s="2" t="s">
        <v>19</v>
      </c>
      <c r="I53" s="2" t="s">
        <v>33</v>
      </c>
      <c r="J53" s="2">
        <v>6.16</v>
      </c>
      <c r="K53" s="2">
        <v>2</v>
      </c>
      <c r="L53" s="4">
        <v>0</v>
      </c>
      <c r="M53" s="2">
        <v>2.9567999999999999</v>
      </c>
      <c r="N53" s="4">
        <f>Table1[[#This Row],[Profit]]/Table1[[#This Row],[Sales]]</f>
        <v>0.48</v>
      </c>
      <c r="O53" s="2" t="str">
        <f>IF(Table1[[#This Row],[Sales]]&gt;500, "High Sales", "Low Sales")</f>
        <v>Low Sales</v>
      </c>
    </row>
    <row r="54" spans="1:15" x14ac:dyDescent="0.3">
      <c r="A54" s="2" t="s">
        <v>28</v>
      </c>
      <c r="B54" s="2" t="s">
        <v>14</v>
      </c>
      <c r="C54" s="2" t="s">
        <v>15</v>
      </c>
      <c r="D54" s="2" t="s">
        <v>73</v>
      </c>
      <c r="E54" s="2" t="s">
        <v>74</v>
      </c>
      <c r="F54" s="2">
        <v>47150</v>
      </c>
      <c r="G54" s="2" t="s">
        <v>47</v>
      </c>
      <c r="H54" s="2" t="s">
        <v>19</v>
      </c>
      <c r="I54" s="2" t="s">
        <v>21</v>
      </c>
      <c r="J54" s="2">
        <v>89.99</v>
      </c>
      <c r="K54" s="2">
        <v>1</v>
      </c>
      <c r="L54" s="4">
        <v>0</v>
      </c>
      <c r="M54" s="2">
        <v>17.098099999999999</v>
      </c>
      <c r="N54" s="4">
        <f>Table1[[#This Row],[Profit]]/Table1[[#This Row],[Sales]]</f>
        <v>0.19</v>
      </c>
      <c r="O54" s="2" t="str">
        <f>IF(Table1[[#This Row],[Sales]]&gt;500, "High Sales", "Low Sales")</f>
        <v>Low Sales</v>
      </c>
    </row>
    <row r="55" spans="1:15" x14ac:dyDescent="0.3">
      <c r="A55" s="2" t="s">
        <v>28</v>
      </c>
      <c r="B55" s="2" t="s">
        <v>22</v>
      </c>
      <c r="C55" s="2" t="s">
        <v>15</v>
      </c>
      <c r="D55" s="2" t="s">
        <v>75</v>
      </c>
      <c r="E55" s="2" t="s">
        <v>76</v>
      </c>
      <c r="F55" s="2">
        <v>10024</v>
      </c>
      <c r="G55" s="2" t="s">
        <v>57</v>
      </c>
      <c r="H55" s="2" t="s">
        <v>26</v>
      </c>
      <c r="I55" s="2" t="s">
        <v>77</v>
      </c>
      <c r="J55" s="2">
        <v>15.26</v>
      </c>
      <c r="K55" s="2">
        <v>7</v>
      </c>
      <c r="L55" s="4">
        <v>0</v>
      </c>
      <c r="M55" s="2">
        <v>6.2565999999999997</v>
      </c>
      <c r="N55" s="4">
        <f>Table1[[#This Row],[Profit]]/Table1[[#This Row],[Sales]]</f>
        <v>0.41</v>
      </c>
      <c r="O55" s="2" t="str">
        <f>IF(Table1[[#This Row],[Sales]]&gt;500, "High Sales", "Low Sales")</f>
        <v>Low Sales</v>
      </c>
    </row>
    <row r="56" spans="1:15" x14ac:dyDescent="0.3">
      <c r="A56" s="2" t="s">
        <v>28</v>
      </c>
      <c r="B56" s="2" t="s">
        <v>22</v>
      </c>
      <c r="C56" s="2" t="s">
        <v>15</v>
      </c>
      <c r="D56" s="2" t="s">
        <v>75</v>
      </c>
      <c r="E56" s="2" t="s">
        <v>76</v>
      </c>
      <c r="F56" s="2">
        <v>10024</v>
      </c>
      <c r="G56" s="2" t="s">
        <v>57</v>
      </c>
      <c r="H56" s="2" t="s">
        <v>35</v>
      </c>
      <c r="I56" s="2" t="s">
        <v>36</v>
      </c>
      <c r="J56" s="2">
        <v>1029.95</v>
      </c>
      <c r="K56" s="2">
        <v>5</v>
      </c>
      <c r="L56" s="4">
        <v>0</v>
      </c>
      <c r="M56" s="2">
        <v>298.68549999999999</v>
      </c>
      <c r="N56" s="4">
        <f>Table1[[#This Row],[Profit]]/Table1[[#This Row],[Sales]]</f>
        <v>0.28999999999999998</v>
      </c>
      <c r="O56" s="2" t="str">
        <f>IF(Table1[[#This Row],[Sales]]&gt;500, "High Sales", "Low Sales")</f>
        <v>High Sales</v>
      </c>
    </row>
    <row r="57" spans="1:15" x14ac:dyDescent="0.3">
      <c r="A57" s="2" t="s">
        <v>62</v>
      </c>
      <c r="B57" s="2" t="s">
        <v>14</v>
      </c>
      <c r="C57" s="2" t="s">
        <v>15</v>
      </c>
      <c r="D57" s="2" t="s">
        <v>78</v>
      </c>
      <c r="E57" s="2" t="s">
        <v>76</v>
      </c>
      <c r="F57" s="2">
        <v>12180</v>
      </c>
      <c r="G57" s="2" t="s">
        <v>57</v>
      </c>
      <c r="H57" s="2" t="s">
        <v>26</v>
      </c>
      <c r="I57" s="2" t="s">
        <v>32</v>
      </c>
      <c r="J57" s="2">
        <v>208.56</v>
      </c>
      <c r="K57" s="2">
        <v>6</v>
      </c>
      <c r="L57" s="4">
        <v>0</v>
      </c>
      <c r="M57" s="2">
        <v>52.14</v>
      </c>
      <c r="N57" s="4">
        <f>Table1[[#This Row],[Profit]]/Table1[[#This Row],[Sales]]</f>
        <v>0.25</v>
      </c>
      <c r="O57" s="2" t="str">
        <f>IF(Table1[[#This Row],[Sales]]&gt;500, "High Sales", "Low Sales")</f>
        <v>Low Sales</v>
      </c>
    </row>
    <row r="58" spans="1:15" x14ac:dyDescent="0.3">
      <c r="A58" s="2" t="s">
        <v>62</v>
      </c>
      <c r="B58" s="2" t="s">
        <v>14</v>
      </c>
      <c r="C58" s="2" t="s">
        <v>15</v>
      </c>
      <c r="D58" s="2" t="s">
        <v>78</v>
      </c>
      <c r="E58" s="2" t="s">
        <v>76</v>
      </c>
      <c r="F58" s="2">
        <v>12180</v>
      </c>
      <c r="G58" s="2" t="s">
        <v>57</v>
      </c>
      <c r="H58" s="2" t="s">
        <v>26</v>
      </c>
      <c r="I58" s="2" t="s">
        <v>41</v>
      </c>
      <c r="J58" s="2">
        <v>32.4</v>
      </c>
      <c r="K58" s="2">
        <v>5</v>
      </c>
      <c r="L58" s="4">
        <v>0</v>
      </c>
      <c r="M58" s="2">
        <v>15.552</v>
      </c>
      <c r="N58" s="4">
        <f>Table1[[#This Row],[Profit]]/Table1[[#This Row],[Sales]]</f>
        <v>0.48</v>
      </c>
      <c r="O58" s="2" t="str">
        <f>IF(Table1[[#This Row],[Sales]]&gt;500, "High Sales", "Low Sales")</f>
        <v>Low Sales</v>
      </c>
    </row>
    <row r="59" spans="1:15" x14ac:dyDescent="0.3">
      <c r="A59" s="2" t="s">
        <v>62</v>
      </c>
      <c r="B59" s="2" t="s">
        <v>14</v>
      </c>
      <c r="C59" s="2" t="s">
        <v>15</v>
      </c>
      <c r="D59" s="2" t="s">
        <v>78</v>
      </c>
      <c r="E59" s="2" t="s">
        <v>76</v>
      </c>
      <c r="F59" s="2">
        <v>12180</v>
      </c>
      <c r="G59" s="2" t="s">
        <v>57</v>
      </c>
      <c r="H59" s="2" t="s">
        <v>19</v>
      </c>
      <c r="I59" s="2" t="s">
        <v>21</v>
      </c>
      <c r="J59" s="2">
        <v>319.41000000000003</v>
      </c>
      <c r="K59" s="2">
        <v>5</v>
      </c>
      <c r="L59" s="4">
        <v>0.1</v>
      </c>
      <c r="M59" s="2">
        <v>7.0979999999999999</v>
      </c>
      <c r="N59" s="4">
        <f>Table1[[#This Row],[Profit]]/Table1[[#This Row],[Sales]]</f>
        <v>2.222222222222222E-2</v>
      </c>
      <c r="O59" s="2" t="str">
        <f>IF(Table1[[#This Row],[Sales]]&gt;500, "High Sales", "Low Sales")</f>
        <v>Low Sales</v>
      </c>
    </row>
    <row r="60" spans="1:15" x14ac:dyDescent="0.3">
      <c r="A60" s="2" t="s">
        <v>62</v>
      </c>
      <c r="B60" s="2" t="s">
        <v>14</v>
      </c>
      <c r="C60" s="2" t="s">
        <v>15</v>
      </c>
      <c r="D60" s="2" t="s">
        <v>78</v>
      </c>
      <c r="E60" s="2" t="s">
        <v>76</v>
      </c>
      <c r="F60" s="2">
        <v>12180</v>
      </c>
      <c r="G60" s="2" t="s">
        <v>57</v>
      </c>
      <c r="H60" s="2" t="s">
        <v>26</v>
      </c>
      <c r="I60" s="2" t="s">
        <v>41</v>
      </c>
      <c r="J60" s="2">
        <v>14.56</v>
      </c>
      <c r="K60" s="2">
        <v>2</v>
      </c>
      <c r="L60" s="4">
        <v>0</v>
      </c>
      <c r="M60" s="2">
        <v>6.9888000000000003</v>
      </c>
      <c r="N60" s="4">
        <f>Table1[[#This Row],[Profit]]/Table1[[#This Row],[Sales]]</f>
        <v>0.48</v>
      </c>
      <c r="O60" s="2" t="str">
        <f>IF(Table1[[#This Row],[Sales]]&gt;500, "High Sales", "Low Sales")</f>
        <v>Low Sales</v>
      </c>
    </row>
    <row r="61" spans="1:15" x14ac:dyDescent="0.3">
      <c r="A61" s="2" t="s">
        <v>62</v>
      </c>
      <c r="B61" s="2" t="s">
        <v>14</v>
      </c>
      <c r="C61" s="2" t="s">
        <v>15</v>
      </c>
      <c r="D61" s="2" t="s">
        <v>78</v>
      </c>
      <c r="E61" s="2" t="s">
        <v>76</v>
      </c>
      <c r="F61" s="2">
        <v>12180</v>
      </c>
      <c r="G61" s="2" t="s">
        <v>57</v>
      </c>
      <c r="H61" s="2" t="s">
        <v>35</v>
      </c>
      <c r="I61" s="2" t="s">
        <v>59</v>
      </c>
      <c r="J61" s="2">
        <v>30</v>
      </c>
      <c r="K61" s="2">
        <v>2</v>
      </c>
      <c r="L61" s="4">
        <v>0</v>
      </c>
      <c r="M61" s="2">
        <v>3.3</v>
      </c>
      <c r="N61" s="4">
        <f>Table1[[#This Row],[Profit]]/Table1[[#This Row],[Sales]]</f>
        <v>0.11</v>
      </c>
      <c r="O61" s="2" t="str">
        <f>IF(Table1[[#This Row],[Sales]]&gt;500, "High Sales", "Low Sales")</f>
        <v>Low Sales</v>
      </c>
    </row>
    <row r="62" spans="1:15" x14ac:dyDescent="0.3">
      <c r="A62" s="2" t="s">
        <v>62</v>
      </c>
      <c r="B62" s="2" t="s">
        <v>14</v>
      </c>
      <c r="C62" s="2" t="s">
        <v>15</v>
      </c>
      <c r="D62" s="2" t="s">
        <v>78</v>
      </c>
      <c r="E62" s="2" t="s">
        <v>76</v>
      </c>
      <c r="F62" s="2">
        <v>12180</v>
      </c>
      <c r="G62" s="2" t="s">
        <v>57</v>
      </c>
      <c r="H62" s="2" t="s">
        <v>26</v>
      </c>
      <c r="I62" s="2" t="s">
        <v>37</v>
      </c>
      <c r="J62" s="2">
        <v>48.48</v>
      </c>
      <c r="K62" s="2">
        <v>4</v>
      </c>
      <c r="L62" s="4">
        <v>0.2</v>
      </c>
      <c r="M62" s="2">
        <v>16.361999999999998</v>
      </c>
      <c r="N62" s="4">
        <f>Table1[[#This Row],[Profit]]/Table1[[#This Row],[Sales]]</f>
        <v>0.33749999999999997</v>
      </c>
      <c r="O62" s="2" t="str">
        <f>IF(Table1[[#This Row],[Sales]]&gt;500, "High Sales", "Low Sales")</f>
        <v>Low Sales</v>
      </c>
    </row>
    <row r="63" spans="1:15" x14ac:dyDescent="0.3">
      <c r="A63" s="2" t="s">
        <v>62</v>
      </c>
      <c r="B63" s="2" t="s">
        <v>14</v>
      </c>
      <c r="C63" s="2" t="s">
        <v>15</v>
      </c>
      <c r="D63" s="2" t="s">
        <v>78</v>
      </c>
      <c r="E63" s="2" t="s">
        <v>76</v>
      </c>
      <c r="F63" s="2">
        <v>12180</v>
      </c>
      <c r="G63" s="2" t="s">
        <v>57</v>
      </c>
      <c r="H63" s="2" t="s">
        <v>26</v>
      </c>
      <c r="I63" s="2" t="s">
        <v>34</v>
      </c>
      <c r="J63" s="2">
        <v>1.68</v>
      </c>
      <c r="K63" s="2">
        <v>1</v>
      </c>
      <c r="L63" s="4">
        <v>0</v>
      </c>
      <c r="M63" s="2">
        <v>0.84</v>
      </c>
      <c r="N63" s="4">
        <f>Table1[[#This Row],[Profit]]/Table1[[#This Row],[Sales]]</f>
        <v>0.5</v>
      </c>
      <c r="O63" s="2" t="str">
        <f>IF(Table1[[#This Row],[Sales]]&gt;500, "High Sales", "Low Sales")</f>
        <v>Low Sales</v>
      </c>
    </row>
    <row r="64" spans="1:15" x14ac:dyDescent="0.3">
      <c r="A64" s="2" t="s">
        <v>28</v>
      </c>
      <c r="B64" s="2" t="s">
        <v>14</v>
      </c>
      <c r="C64" s="2" t="s">
        <v>15</v>
      </c>
      <c r="D64" s="2" t="s">
        <v>23</v>
      </c>
      <c r="E64" s="2" t="s">
        <v>24</v>
      </c>
      <c r="F64" s="2">
        <v>90004</v>
      </c>
      <c r="G64" s="2" t="s">
        <v>25</v>
      </c>
      <c r="H64" s="2" t="s">
        <v>35</v>
      </c>
      <c r="I64" s="2" t="s">
        <v>59</v>
      </c>
      <c r="J64" s="2">
        <v>13.98</v>
      </c>
      <c r="K64" s="2">
        <v>2</v>
      </c>
      <c r="L64" s="4">
        <v>0</v>
      </c>
      <c r="M64" s="2">
        <v>6.1512000000000002</v>
      </c>
      <c r="N64" s="4">
        <f>Table1[[#This Row],[Profit]]/Table1[[#This Row],[Sales]]</f>
        <v>0.44</v>
      </c>
      <c r="O64" s="2" t="str">
        <f>IF(Table1[[#This Row],[Sales]]&gt;500, "High Sales", "Low Sales")</f>
        <v>Low Sales</v>
      </c>
    </row>
    <row r="65" spans="1:15" x14ac:dyDescent="0.3">
      <c r="A65" s="2" t="s">
        <v>28</v>
      </c>
      <c r="B65" s="2" t="s">
        <v>14</v>
      </c>
      <c r="C65" s="2" t="s">
        <v>15</v>
      </c>
      <c r="D65" s="2" t="s">
        <v>23</v>
      </c>
      <c r="E65" s="2" t="s">
        <v>24</v>
      </c>
      <c r="F65" s="2">
        <v>90004</v>
      </c>
      <c r="G65" s="2" t="s">
        <v>25</v>
      </c>
      <c r="H65" s="2" t="s">
        <v>26</v>
      </c>
      <c r="I65" s="2" t="s">
        <v>37</v>
      </c>
      <c r="J65" s="2">
        <v>25.824000000000002</v>
      </c>
      <c r="K65" s="2">
        <v>6</v>
      </c>
      <c r="L65" s="4">
        <v>0.2</v>
      </c>
      <c r="M65" s="2">
        <v>9.3612000000000002</v>
      </c>
      <c r="N65" s="4">
        <f>Table1[[#This Row],[Profit]]/Table1[[#This Row],[Sales]]</f>
        <v>0.36249999999999999</v>
      </c>
      <c r="O65" s="2" t="str">
        <f>IF(Table1[[#This Row],[Sales]]&gt;500, "High Sales", "Low Sales")</f>
        <v>Low Sales</v>
      </c>
    </row>
    <row r="66" spans="1:15" x14ac:dyDescent="0.3">
      <c r="A66" s="2" t="s">
        <v>28</v>
      </c>
      <c r="B66" s="2" t="s">
        <v>14</v>
      </c>
      <c r="C66" s="2" t="s">
        <v>15</v>
      </c>
      <c r="D66" s="2" t="s">
        <v>23</v>
      </c>
      <c r="E66" s="2" t="s">
        <v>24</v>
      </c>
      <c r="F66" s="2">
        <v>90004</v>
      </c>
      <c r="G66" s="2" t="s">
        <v>25</v>
      </c>
      <c r="H66" s="2" t="s">
        <v>26</v>
      </c>
      <c r="I66" s="2" t="s">
        <v>41</v>
      </c>
      <c r="J66" s="2">
        <v>146.72999999999999</v>
      </c>
      <c r="K66" s="2">
        <v>3</v>
      </c>
      <c r="L66" s="4">
        <v>0</v>
      </c>
      <c r="M66" s="2">
        <v>68.963099999999997</v>
      </c>
      <c r="N66" s="4">
        <f>Table1[[#This Row],[Profit]]/Table1[[#This Row],[Sales]]</f>
        <v>0.47000000000000003</v>
      </c>
      <c r="O66" s="2" t="str">
        <f>IF(Table1[[#This Row],[Sales]]&gt;500, "High Sales", "Low Sales")</f>
        <v>Low Sales</v>
      </c>
    </row>
    <row r="67" spans="1:15" x14ac:dyDescent="0.3">
      <c r="A67" s="2" t="s">
        <v>28</v>
      </c>
      <c r="B67" s="2" t="s">
        <v>14</v>
      </c>
      <c r="C67" s="2" t="s">
        <v>15</v>
      </c>
      <c r="D67" s="2" t="s">
        <v>23</v>
      </c>
      <c r="E67" s="2" t="s">
        <v>24</v>
      </c>
      <c r="F67" s="2">
        <v>90004</v>
      </c>
      <c r="G67" s="2" t="s">
        <v>25</v>
      </c>
      <c r="H67" s="2" t="s">
        <v>19</v>
      </c>
      <c r="I67" s="2" t="s">
        <v>33</v>
      </c>
      <c r="J67" s="2">
        <v>79.760000000000005</v>
      </c>
      <c r="K67" s="2">
        <v>4</v>
      </c>
      <c r="L67" s="4">
        <v>0</v>
      </c>
      <c r="M67" s="2">
        <v>22.332799999999999</v>
      </c>
      <c r="N67" s="4">
        <f>Table1[[#This Row],[Profit]]/Table1[[#This Row],[Sales]]</f>
        <v>0.27999999999999997</v>
      </c>
      <c r="O67" s="2" t="str">
        <f>IF(Table1[[#This Row],[Sales]]&gt;500, "High Sales", "Low Sales")</f>
        <v>Low Sales</v>
      </c>
    </row>
    <row r="68" spans="1:15" x14ac:dyDescent="0.3">
      <c r="A68" s="2" t="s">
        <v>28</v>
      </c>
      <c r="B68" s="2" t="s">
        <v>44</v>
      </c>
      <c r="C68" s="2" t="s">
        <v>15</v>
      </c>
      <c r="D68" s="2" t="s">
        <v>79</v>
      </c>
      <c r="E68" s="2" t="s">
        <v>65</v>
      </c>
      <c r="F68" s="2">
        <v>60610</v>
      </c>
      <c r="G68" s="2" t="s">
        <v>47</v>
      </c>
      <c r="H68" s="2" t="s">
        <v>19</v>
      </c>
      <c r="I68" s="2" t="s">
        <v>21</v>
      </c>
      <c r="J68" s="2">
        <v>213.11500000000001</v>
      </c>
      <c r="K68" s="2">
        <v>5</v>
      </c>
      <c r="L68" s="4">
        <v>0.3</v>
      </c>
      <c r="M68" s="2">
        <v>-15.2225</v>
      </c>
      <c r="N68" s="4">
        <f>Table1[[#This Row],[Profit]]/Table1[[#This Row],[Sales]]</f>
        <v>-7.1428571428571425E-2</v>
      </c>
      <c r="O68" s="2" t="str">
        <f>IF(Table1[[#This Row],[Sales]]&gt;500, "High Sales", "Low Sales")</f>
        <v>Low Sales</v>
      </c>
    </row>
    <row r="69" spans="1:15" x14ac:dyDescent="0.3">
      <c r="A69" s="2" t="s">
        <v>28</v>
      </c>
      <c r="B69" s="2" t="s">
        <v>22</v>
      </c>
      <c r="C69" s="2" t="s">
        <v>15</v>
      </c>
      <c r="D69" s="2" t="s">
        <v>80</v>
      </c>
      <c r="E69" s="2" t="s">
        <v>81</v>
      </c>
      <c r="F69" s="2">
        <v>85234</v>
      </c>
      <c r="G69" s="2" t="s">
        <v>25</v>
      </c>
      <c r="H69" s="2" t="s">
        <v>26</v>
      </c>
      <c r="I69" s="2" t="s">
        <v>34</v>
      </c>
      <c r="J69" s="2">
        <v>1113.0239999999999</v>
      </c>
      <c r="K69" s="2">
        <v>8</v>
      </c>
      <c r="L69" s="4">
        <v>0.2</v>
      </c>
      <c r="M69" s="2">
        <v>111.30240000000001</v>
      </c>
      <c r="N69" s="4">
        <f>Table1[[#This Row],[Profit]]/Table1[[#This Row],[Sales]]</f>
        <v>0.10000000000000002</v>
      </c>
      <c r="O69" s="2" t="str">
        <f>IF(Table1[[#This Row],[Sales]]&gt;500, "High Sales", "Low Sales")</f>
        <v>High Sales</v>
      </c>
    </row>
    <row r="70" spans="1:15" x14ac:dyDescent="0.3">
      <c r="A70" s="2" t="s">
        <v>28</v>
      </c>
      <c r="B70" s="2" t="s">
        <v>22</v>
      </c>
      <c r="C70" s="2" t="s">
        <v>15</v>
      </c>
      <c r="D70" s="2" t="s">
        <v>80</v>
      </c>
      <c r="E70" s="2" t="s">
        <v>81</v>
      </c>
      <c r="F70" s="2">
        <v>85234</v>
      </c>
      <c r="G70" s="2" t="s">
        <v>25</v>
      </c>
      <c r="H70" s="2" t="s">
        <v>35</v>
      </c>
      <c r="I70" s="2" t="s">
        <v>36</v>
      </c>
      <c r="J70" s="2">
        <v>167.96799999999999</v>
      </c>
      <c r="K70" s="2">
        <v>4</v>
      </c>
      <c r="L70" s="4">
        <v>0.2</v>
      </c>
      <c r="M70" s="2">
        <v>62.988</v>
      </c>
      <c r="N70" s="4">
        <f>Table1[[#This Row],[Profit]]/Table1[[#This Row],[Sales]]</f>
        <v>0.375</v>
      </c>
      <c r="O70" s="2" t="str">
        <f>IF(Table1[[#This Row],[Sales]]&gt;500, "High Sales", "Low Sales")</f>
        <v>Low Sales</v>
      </c>
    </row>
    <row r="71" spans="1:15" x14ac:dyDescent="0.3">
      <c r="A71" s="2" t="s">
        <v>62</v>
      </c>
      <c r="B71" s="2" t="s">
        <v>14</v>
      </c>
      <c r="C71" s="2" t="s">
        <v>15</v>
      </c>
      <c r="D71" s="2" t="s">
        <v>82</v>
      </c>
      <c r="E71" s="2" t="s">
        <v>83</v>
      </c>
      <c r="F71" s="2">
        <v>22153</v>
      </c>
      <c r="G71" s="2" t="s">
        <v>18</v>
      </c>
      <c r="H71" s="2" t="s">
        <v>26</v>
      </c>
      <c r="I71" s="2" t="s">
        <v>41</v>
      </c>
      <c r="J71" s="2">
        <v>75.88</v>
      </c>
      <c r="K71" s="2">
        <v>2</v>
      </c>
      <c r="L71" s="4">
        <v>0</v>
      </c>
      <c r="M71" s="2">
        <v>35.663600000000002</v>
      </c>
      <c r="N71" s="4">
        <f>Table1[[#This Row],[Profit]]/Table1[[#This Row],[Sales]]</f>
        <v>0.47000000000000008</v>
      </c>
      <c r="O71" s="2" t="str">
        <f>IF(Table1[[#This Row],[Sales]]&gt;500, "High Sales", "Low Sales")</f>
        <v>Low Sales</v>
      </c>
    </row>
    <row r="72" spans="1:15" x14ac:dyDescent="0.3">
      <c r="A72" s="2" t="s">
        <v>28</v>
      </c>
      <c r="B72" s="2" t="s">
        <v>14</v>
      </c>
      <c r="C72" s="2" t="s">
        <v>15</v>
      </c>
      <c r="D72" s="2" t="s">
        <v>75</v>
      </c>
      <c r="E72" s="2" t="s">
        <v>76</v>
      </c>
      <c r="F72" s="2">
        <v>10009</v>
      </c>
      <c r="G72" s="2" t="s">
        <v>57</v>
      </c>
      <c r="H72" s="2" t="s">
        <v>26</v>
      </c>
      <c r="I72" s="2" t="s">
        <v>37</v>
      </c>
      <c r="J72" s="2">
        <v>4.6159999999999997</v>
      </c>
      <c r="K72" s="2">
        <v>1</v>
      </c>
      <c r="L72" s="4">
        <v>0.2</v>
      </c>
      <c r="M72" s="2">
        <v>1.7310000000000001</v>
      </c>
      <c r="N72" s="4">
        <f>Table1[[#This Row],[Profit]]/Table1[[#This Row],[Sales]]</f>
        <v>0.37500000000000006</v>
      </c>
      <c r="O72" s="2" t="str">
        <f>IF(Table1[[#This Row],[Sales]]&gt;500, "High Sales", "Low Sales")</f>
        <v>Low Sales</v>
      </c>
    </row>
    <row r="73" spans="1:15" x14ac:dyDescent="0.3">
      <c r="A73" s="2" t="s">
        <v>13</v>
      </c>
      <c r="B73" s="2" t="s">
        <v>14</v>
      </c>
      <c r="C73" s="2" t="s">
        <v>15</v>
      </c>
      <c r="D73" s="2" t="s">
        <v>84</v>
      </c>
      <c r="E73" s="2" t="s">
        <v>70</v>
      </c>
      <c r="F73" s="2">
        <v>49201</v>
      </c>
      <c r="G73" s="2" t="s">
        <v>47</v>
      </c>
      <c r="H73" s="2" t="s">
        <v>26</v>
      </c>
      <c r="I73" s="2" t="s">
        <v>41</v>
      </c>
      <c r="J73" s="2">
        <v>19.05</v>
      </c>
      <c r="K73" s="2">
        <v>3</v>
      </c>
      <c r="L73" s="4">
        <v>0</v>
      </c>
      <c r="M73" s="2">
        <v>8.7629999999999999</v>
      </c>
      <c r="N73" s="4">
        <f>Table1[[#This Row],[Profit]]/Table1[[#This Row],[Sales]]</f>
        <v>0.45999999999999996</v>
      </c>
      <c r="O73" s="2" t="str">
        <f>IF(Table1[[#This Row],[Sales]]&gt;500, "High Sales", "Low Sales")</f>
        <v>Low Sales</v>
      </c>
    </row>
    <row r="74" spans="1:15" x14ac:dyDescent="0.3">
      <c r="A74" s="2" t="s">
        <v>28</v>
      </c>
      <c r="B74" s="2" t="s">
        <v>14</v>
      </c>
      <c r="C74" s="2" t="s">
        <v>15</v>
      </c>
      <c r="D74" s="2" t="s">
        <v>85</v>
      </c>
      <c r="E74" s="2" t="s">
        <v>86</v>
      </c>
      <c r="F74" s="2">
        <v>38109</v>
      </c>
      <c r="G74" s="2" t="s">
        <v>18</v>
      </c>
      <c r="H74" s="2" t="s">
        <v>19</v>
      </c>
      <c r="I74" s="2" t="s">
        <v>21</v>
      </c>
      <c r="J74" s="2">
        <v>831.93600000000004</v>
      </c>
      <c r="K74" s="2">
        <v>8</v>
      </c>
      <c r="L74" s="4">
        <v>0.2</v>
      </c>
      <c r="M74" s="2">
        <v>-114.3912</v>
      </c>
      <c r="N74" s="4">
        <f>Table1[[#This Row],[Profit]]/Table1[[#This Row],[Sales]]</f>
        <v>-0.13749999999999998</v>
      </c>
      <c r="O74" s="2" t="str">
        <f>IF(Table1[[#This Row],[Sales]]&gt;500, "High Sales", "Low Sales")</f>
        <v>High Sales</v>
      </c>
    </row>
    <row r="75" spans="1:15" x14ac:dyDescent="0.3">
      <c r="A75" s="2" t="s">
        <v>28</v>
      </c>
      <c r="B75" s="2" t="s">
        <v>14</v>
      </c>
      <c r="C75" s="2" t="s">
        <v>15</v>
      </c>
      <c r="D75" s="2" t="s">
        <v>85</v>
      </c>
      <c r="E75" s="2" t="s">
        <v>86</v>
      </c>
      <c r="F75" s="2">
        <v>38109</v>
      </c>
      <c r="G75" s="2" t="s">
        <v>18</v>
      </c>
      <c r="H75" s="2" t="s">
        <v>19</v>
      </c>
      <c r="I75" s="2" t="s">
        <v>33</v>
      </c>
      <c r="J75" s="2">
        <v>97.04</v>
      </c>
      <c r="K75" s="2">
        <v>2</v>
      </c>
      <c r="L75" s="4">
        <v>0.2</v>
      </c>
      <c r="M75" s="2">
        <v>1.2130000000000001</v>
      </c>
      <c r="N75" s="4">
        <f>Table1[[#This Row],[Profit]]/Table1[[#This Row],[Sales]]</f>
        <v>1.2500000000000001E-2</v>
      </c>
      <c r="O75" s="2" t="str">
        <f>IF(Table1[[#This Row],[Sales]]&gt;500, "High Sales", "Low Sales")</f>
        <v>Low Sales</v>
      </c>
    </row>
    <row r="76" spans="1:15" x14ac:dyDescent="0.3">
      <c r="A76" s="2" t="s">
        <v>28</v>
      </c>
      <c r="B76" s="2" t="s">
        <v>14</v>
      </c>
      <c r="C76" s="2" t="s">
        <v>15</v>
      </c>
      <c r="D76" s="2" t="s">
        <v>85</v>
      </c>
      <c r="E76" s="2" t="s">
        <v>86</v>
      </c>
      <c r="F76" s="2">
        <v>38109</v>
      </c>
      <c r="G76" s="2" t="s">
        <v>18</v>
      </c>
      <c r="H76" s="2" t="s">
        <v>26</v>
      </c>
      <c r="I76" s="2" t="s">
        <v>32</v>
      </c>
      <c r="J76" s="2">
        <v>72.784000000000006</v>
      </c>
      <c r="K76" s="2">
        <v>1</v>
      </c>
      <c r="L76" s="4">
        <v>0.2</v>
      </c>
      <c r="M76" s="2">
        <v>-18.196000000000002</v>
      </c>
      <c r="N76" s="4">
        <f>Table1[[#This Row],[Profit]]/Table1[[#This Row],[Sales]]</f>
        <v>-0.25</v>
      </c>
      <c r="O76" s="2" t="str">
        <f>IF(Table1[[#This Row],[Sales]]&gt;500, "High Sales", "Low Sales")</f>
        <v>Low Sales</v>
      </c>
    </row>
    <row r="77" spans="1:15" x14ac:dyDescent="0.3">
      <c r="A77" s="2" t="s">
        <v>62</v>
      </c>
      <c r="B77" s="2" t="s">
        <v>22</v>
      </c>
      <c r="C77" s="2" t="s">
        <v>15</v>
      </c>
      <c r="D77" s="2" t="s">
        <v>61</v>
      </c>
      <c r="E77" s="2" t="s">
        <v>46</v>
      </c>
      <c r="F77" s="2">
        <v>77041</v>
      </c>
      <c r="G77" s="2" t="s">
        <v>47</v>
      </c>
      <c r="H77" s="2" t="s">
        <v>26</v>
      </c>
      <c r="I77" s="2" t="s">
        <v>37</v>
      </c>
      <c r="J77" s="2">
        <v>1.248</v>
      </c>
      <c r="K77" s="2">
        <v>3</v>
      </c>
      <c r="L77" s="4">
        <v>0.8</v>
      </c>
      <c r="M77" s="2">
        <v>-1.9343999999999999</v>
      </c>
      <c r="N77" s="4">
        <f>Table1[[#This Row],[Profit]]/Table1[[#This Row],[Sales]]</f>
        <v>-1.5499999999999998</v>
      </c>
      <c r="O77" s="2" t="str">
        <f>IF(Table1[[#This Row],[Sales]]&gt;500, "High Sales", "Low Sales")</f>
        <v>Low Sales</v>
      </c>
    </row>
    <row r="78" spans="1:15" x14ac:dyDescent="0.3">
      <c r="A78" s="2" t="s">
        <v>62</v>
      </c>
      <c r="B78" s="2" t="s">
        <v>22</v>
      </c>
      <c r="C78" s="2" t="s">
        <v>15</v>
      </c>
      <c r="D78" s="2" t="s">
        <v>61</v>
      </c>
      <c r="E78" s="2" t="s">
        <v>46</v>
      </c>
      <c r="F78" s="2">
        <v>77041</v>
      </c>
      <c r="G78" s="2" t="s">
        <v>47</v>
      </c>
      <c r="H78" s="2" t="s">
        <v>19</v>
      </c>
      <c r="I78" s="2" t="s">
        <v>33</v>
      </c>
      <c r="J78" s="2">
        <v>9.7080000000000002</v>
      </c>
      <c r="K78" s="2">
        <v>3</v>
      </c>
      <c r="L78" s="4">
        <v>0.6</v>
      </c>
      <c r="M78" s="2">
        <v>-5.8247999999999998</v>
      </c>
      <c r="N78" s="4">
        <f>Table1[[#This Row],[Profit]]/Table1[[#This Row],[Sales]]</f>
        <v>-0.6</v>
      </c>
      <c r="O78" s="2" t="str">
        <f>IF(Table1[[#This Row],[Sales]]&gt;500, "High Sales", "Low Sales")</f>
        <v>Low Sales</v>
      </c>
    </row>
    <row r="79" spans="1:15" x14ac:dyDescent="0.3">
      <c r="A79" s="2" t="s">
        <v>62</v>
      </c>
      <c r="B79" s="2" t="s">
        <v>22</v>
      </c>
      <c r="C79" s="2" t="s">
        <v>15</v>
      </c>
      <c r="D79" s="2" t="s">
        <v>61</v>
      </c>
      <c r="E79" s="2" t="s">
        <v>46</v>
      </c>
      <c r="F79" s="2">
        <v>77041</v>
      </c>
      <c r="G79" s="2" t="s">
        <v>47</v>
      </c>
      <c r="H79" s="2" t="s">
        <v>26</v>
      </c>
      <c r="I79" s="2" t="s">
        <v>32</v>
      </c>
      <c r="J79" s="2">
        <v>27.24</v>
      </c>
      <c r="K79" s="2">
        <v>3</v>
      </c>
      <c r="L79" s="4">
        <v>0.2</v>
      </c>
      <c r="M79" s="2">
        <v>2.7240000000000002</v>
      </c>
      <c r="N79" s="4">
        <f>Table1[[#This Row],[Profit]]/Table1[[#This Row],[Sales]]</f>
        <v>0.10000000000000002</v>
      </c>
      <c r="O79" s="2" t="str">
        <f>IF(Table1[[#This Row],[Sales]]&gt;500, "High Sales", "Low Sales")</f>
        <v>Low Sales</v>
      </c>
    </row>
    <row r="80" spans="1:15" x14ac:dyDescent="0.3">
      <c r="A80" s="2" t="s">
        <v>13</v>
      </c>
      <c r="B80" s="2" t="s">
        <v>14</v>
      </c>
      <c r="C80" s="2" t="s">
        <v>15</v>
      </c>
      <c r="D80" s="2" t="s">
        <v>61</v>
      </c>
      <c r="E80" s="2" t="s">
        <v>46</v>
      </c>
      <c r="F80" s="2">
        <v>77070</v>
      </c>
      <c r="G80" s="2" t="s">
        <v>47</v>
      </c>
      <c r="H80" s="2" t="s">
        <v>19</v>
      </c>
      <c r="I80" s="2" t="s">
        <v>33</v>
      </c>
      <c r="J80" s="2">
        <v>19.3</v>
      </c>
      <c r="K80" s="2">
        <v>5</v>
      </c>
      <c r="L80" s="4">
        <v>0.6</v>
      </c>
      <c r="M80" s="2">
        <v>-14.475</v>
      </c>
      <c r="N80" s="4">
        <f>Table1[[#This Row],[Profit]]/Table1[[#This Row],[Sales]]</f>
        <v>-0.75</v>
      </c>
      <c r="O80" s="2" t="str">
        <f>IF(Table1[[#This Row],[Sales]]&gt;500, "High Sales", "Low Sales")</f>
        <v>Low Sales</v>
      </c>
    </row>
    <row r="81" spans="1:15" x14ac:dyDescent="0.3">
      <c r="A81" s="2" t="s">
        <v>62</v>
      </c>
      <c r="B81" s="2" t="s">
        <v>22</v>
      </c>
      <c r="C81" s="2" t="s">
        <v>15</v>
      </c>
      <c r="D81" s="2" t="s">
        <v>87</v>
      </c>
      <c r="E81" s="2" t="s">
        <v>88</v>
      </c>
      <c r="F81" s="2">
        <v>35601</v>
      </c>
      <c r="G81" s="2" t="s">
        <v>18</v>
      </c>
      <c r="H81" s="2" t="s">
        <v>26</v>
      </c>
      <c r="I81" s="2" t="s">
        <v>38</v>
      </c>
      <c r="J81" s="2">
        <v>208.16</v>
      </c>
      <c r="K81" s="2">
        <v>1</v>
      </c>
      <c r="L81" s="4">
        <v>0</v>
      </c>
      <c r="M81" s="2">
        <v>56.203200000000002</v>
      </c>
      <c r="N81" s="4">
        <f>Table1[[#This Row],[Profit]]/Table1[[#This Row],[Sales]]</f>
        <v>0.27</v>
      </c>
      <c r="O81" s="2" t="str">
        <f>IF(Table1[[#This Row],[Sales]]&gt;500, "High Sales", "Low Sales")</f>
        <v>Low Sales</v>
      </c>
    </row>
    <row r="82" spans="1:15" x14ac:dyDescent="0.3">
      <c r="A82" s="2" t="s">
        <v>62</v>
      </c>
      <c r="B82" s="2" t="s">
        <v>22</v>
      </c>
      <c r="C82" s="2" t="s">
        <v>15</v>
      </c>
      <c r="D82" s="2" t="s">
        <v>87</v>
      </c>
      <c r="E82" s="2" t="s">
        <v>88</v>
      </c>
      <c r="F82" s="2">
        <v>35601</v>
      </c>
      <c r="G82" s="2" t="s">
        <v>18</v>
      </c>
      <c r="H82" s="2" t="s">
        <v>26</v>
      </c>
      <c r="I82" s="2" t="s">
        <v>37</v>
      </c>
      <c r="J82" s="2">
        <v>16.739999999999998</v>
      </c>
      <c r="K82" s="2">
        <v>3</v>
      </c>
      <c r="L82" s="4">
        <v>0</v>
      </c>
      <c r="M82" s="2">
        <v>8.0351999999999997</v>
      </c>
      <c r="N82" s="4">
        <f>Table1[[#This Row],[Profit]]/Table1[[#This Row],[Sales]]</f>
        <v>0.48000000000000004</v>
      </c>
      <c r="O82" s="2" t="str">
        <f>IF(Table1[[#This Row],[Sales]]&gt;500, "High Sales", "Low Sales")</f>
        <v>Low Sales</v>
      </c>
    </row>
    <row r="83" spans="1:15" x14ac:dyDescent="0.3">
      <c r="A83" s="2" t="s">
        <v>28</v>
      </c>
      <c r="B83" s="2" t="s">
        <v>14</v>
      </c>
      <c r="C83" s="2" t="s">
        <v>15</v>
      </c>
      <c r="D83" s="2" t="s">
        <v>52</v>
      </c>
      <c r="E83" s="2" t="s">
        <v>24</v>
      </c>
      <c r="F83" s="2">
        <v>94122</v>
      </c>
      <c r="G83" s="2" t="s">
        <v>25</v>
      </c>
      <c r="H83" s="2" t="s">
        <v>26</v>
      </c>
      <c r="I83" s="2" t="s">
        <v>34</v>
      </c>
      <c r="J83" s="2">
        <v>14.9</v>
      </c>
      <c r="K83" s="2">
        <v>5</v>
      </c>
      <c r="L83" s="4">
        <v>0</v>
      </c>
      <c r="M83" s="2">
        <v>4.1719999999999997</v>
      </c>
      <c r="N83" s="4">
        <f>Table1[[#This Row],[Profit]]/Table1[[#This Row],[Sales]]</f>
        <v>0.27999999999999997</v>
      </c>
      <c r="O83" s="2" t="str">
        <f>IF(Table1[[#This Row],[Sales]]&gt;500, "High Sales", "Low Sales")</f>
        <v>Low Sales</v>
      </c>
    </row>
    <row r="84" spans="1:15" x14ac:dyDescent="0.3">
      <c r="A84" s="2" t="s">
        <v>28</v>
      </c>
      <c r="B84" s="2" t="s">
        <v>14</v>
      </c>
      <c r="C84" s="2" t="s">
        <v>15</v>
      </c>
      <c r="D84" s="2" t="s">
        <v>52</v>
      </c>
      <c r="E84" s="2" t="s">
        <v>24</v>
      </c>
      <c r="F84" s="2">
        <v>94122</v>
      </c>
      <c r="G84" s="2" t="s">
        <v>25</v>
      </c>
      <c r="H84" s="2" t="s">
        <v>26</v>
      </c>
      <c r="I84" s="2" t="s">
        <v>32</v>
      </c>
      <c r="J84" s="2">
        <v>21.39</v>
      </c>
      <c r="K84" s="2">
        <v>1</v>
      </c>
      <c r="L84" s="4">
        <v>0</v>
      </c>
      <c r="M84" s="2">
        <v>6.2031000000000001</v>
      </c>
      <c r="N84" s="4">
        <f>Table1[[#This Row],[Profit]]/Table1[[#This Row],[Sales]]</f>
        <v>0.28999999999999998</v>
      </c>
      <c r="O84" s="2" t="str">
        <f>IF(Table1[[#This Row],[Sales]]&gt;500, "High Sales", "Low Sales")</f>
        <v>Low Sales</v>
      </c>
    </row>
    <row r="85" spans="1:15" x14ac:dyDescent="0.3">
      <c r="A85" s="2" t="s">
        <v>28</v>
      </c>
      <c r="B85" s="2" t="s">
        <v>22</v>
      </c>
      <c r="C85" s="2" t="s">
        <v>15</v>
      </c>
      <c r="D85" s="2" t="s">
        <v>89</v>
      </c>
      <c r="E85" s="2" t="s">
        <v>40</v>
      </c>
      <c r="F85" s="2">
        <v>27707</v>
      </c>
      <c r="G85" s="2" t="s">
        <v>18</v>
      </c>
      <c r="H85" s="2" t="s">
        <v>26</v>
      </c>
      <c r="I85" s="2" t="s">
        <v>60</v>
      </c>
      <c r="J85" s="2">
        <v>200.98400000000001</v>
      </c>
      <c r="K85" s="2">
        <v>7</v>
      </c>
      <c r="L85" s="4">
        <v>0.2</v>
      </c>
      <c r="M85" s="2">
        <v>62.807499999999997</v>
      </c>
      <c r="N85" s="4">
        <f>Table1[[#This Row],[Profit]]/Table1[[#This Row],[Sales]]</f>
        <v>0.3125</v>
      </c>
      <c r="O85" s="2" t="str">
        <f>IF(Table1[[#This Row],[Sales]]&gt;500, "High Sales", "Low Sales")</f>
        <v>Low Sales</v>
      </c>
    </row>
    <row r="86" spans="1:15" x14ac:dyDescent="0.3">
      <c r="A86" s="2" t="s">
        <v>62</v>
      </c>
      <c r="B86" s="2" t="s">
        <v>44</v>
      </c>
      <c r="C86" s="2" t="s">
        <v>15</v>
      </c>
      <c r="D86" s="2" t="s">
        <v>79</v>
      </c>
      <c r="E86" s="2" t="s">
        <v>65</v>
      </c>
      <c r="F86" s="2">
        <v>60623</v>
      </c>
      <c r="G86" s="2" t="s">
        <v>47</v>
      </c>
      <c r="H86" s="2" t="s">
        <v>26</v>
      </c>
      <c r="I86" s="2" t="s">
        <v>32</v>
      </c>
      <c r="J86" s="2">
        <v>230.376</v>
      </c>
      <c r="K86" s="2">
        <v>3</v>
      </c>
      <c r="L86" s="4">
        <v>0.2</v>
      </c>
      <c r="M86" s="2">
        <v>-48.954900000000002</v>
      </c>
      <c r="N86" s="4">
        <f>Table1[[#This Row],[Profit]]/Table1[[#This Row],[Sales]]</f>
        <v>-0.21249999999999999</v>
      </c>
      <c r="O86" s="2" t="str">
        <f>IF(Table1[[#This Row],[Sales]]&gt;500, "High Sales", "Low Sales")</f>
        <v>Low Sales</v>
      </c>
    </row>
    <row r="87" spans="1:15" x14ac:dyDescent="0.3">
      <c r="A87" s="2" t="s">
        <v>13</v>
      </c>
      <c r="B87" s="2" t="s">
        <v>14</v>
      </c>
      <c r="C87" s="2" t="s">
        <v>15</v>
      </c>
      <c r="D87" s="2" t="s">
        <v>90</v>
      </c>
      <c r="E87" s="2" t="s">
        <v>91</v>
      </c>
      <c r="F87" s="2">
        <v>29203</v>
      </c>
      <c r="G87" s="2" t="s">
        <v>18</v>
      </c>
      <c r="H87" s="2" t="s">
        <v>19</v>
      </c>
      <c r="I87" s="2" t="s">
        <v>21</v>
      </c>
      <c r="J87" s="2">
        <v>301.95999999999998</v>
      </c>
      <c r="K87" s="2">
        <v>2</v>
      </c>
      <c r="L87" s="4">
        <v>0</v>
      </c>
      <c r="M87" s="2">
        <v>33.215600000000002</v>
      </c>
      <c r="N87" s="4">
        <f>Table1[[#This Row],[Profit]]/Table1[[#This Row],[Sales]]</f>
        <v>0.11000000000000001</v>
      </c>
      <c r="O87" s="2" t="str">
        <f>IF(Table1[[#This Row],[Sales]]&gt;500, "High Sales", "Low Sales")</f>
        <v>Low Sales</v>
      </c>
    </row>
    <row r="88" spans="1:15" x14ac:dyDescent="0.3">
      <c r="A88" s="2" t="s">
        <v>28</v>
      </c>
      <c r="B88" s="2" t="s">
        <v>14</v>
      </c>
      <c r="C88" s="2" t="s">
        <v>15</v>
      </c>
      <c r="D88" s="2" t="s">
        <v>92</v>
      </c>
      <c r="E88" s="2" t="s">
        <v>68</v>
      </c>
      <c r="F88" s="2">
        <v>55901</v>
      </c>
      <c r="G88" s="2" t="s">
        <v>47</v>
      </c>
      <c r="H88" s="2" t="s">
        <v>35</v>
      </c>
      <c r="I88" s="2" t="s">
        <v>59</v>
      </c>
      <c r="J88" s="2">
        <v>19.989999999999998</v>
      </c>
      <c r="K88" s="2">
        <v>1</v>
      </c>
      <c r="L88" s="4">
        <v>0</v>
      </c>
      <c r="M88" s="2">
        <v>6.7965999999999998</v>
      </c>
      <c r="N88" s="4">
        <f>Table1[[#This Row],[Profit]]/Table1[[#This Row],[Sales]]</f>
        <v>0.34</v>
      </c>
      <c r="O88" s="2" t="str">
        <f>IF(Table1[[#This Row],[Sales]]&gt;500, "High Sales", "Low Sales")</f>
        <v>Low Sales</v>
      </c>
    </row>
    <row r="89" spans="1:15" x14ac:dyDescent="0.3">
      <c r="A89" s="2" t="s">
        <v>28</v>
      </c>
      <c r="B89" s="2" t="s">
        <v>14</v>
      </c>
      <c r="C89" s="2" t="s">
        <v>15</v>
      </c>
      <c r="D89" s="2" t="s">
        <v>92</v>
      </c>
      <c r="E89" s="2" t="s">
        <v>68</v>
      </c>
      <c r="F89" s="2">
        <v>55901</v>
      </c>
      <c r="G89" s="2" t="s">
        <v>47</v>
      </c>
      <c r="H89" s="2" t="s">
        <v>26</v>
      </c>
      <c r="I89" s="2" t="s">
        <v>27</v>
      </c>
      <c r="J89" s="2">
        <v>6.16</v>
      </c>
      <c r="K89" s="2">
        <v>2</v>
      </c>
      <c r="L89" s="4">
        <v>0</v>
      </c>
      <c r="M89" s="2">
        <v>2.9567999999999999</v>
      </c>
      <c r="N89" s="4">
        <f>Table1[[#This Row],[Profit]]/Table1[[#This Row],[Sales]]</f>
        <v>0.48</v>
      </c>
      <c r="O89" s="2" t="str">
        <f>IF(Table1[[#This Row],[Sales]]&gt;500, "High Sales", "Low Sales")</f>
        <v>Low Sales</v>
      </c>
    </row>
    <row r="90" spans="1:15" x14ac:dyDescent="0.3">
      <c r="A90" s="2" t="s">
        <v>13</v>
      </c>
      <c r="B90" s="2" t="s">
        <v>44</v>
      </c>
      <c r="C90" s="2" t="s">
        <v>15</v>
      </c>
      <c r="D90" s="2" t="s">
        <v>61</v>
      </c>
      <c r="E90" s="2" t="s">
        <v>46</v>
      </c>
      <c r="F90" s="2">
        <v>77095</v>
      </c>
      <c r="G90" s="2" t="s">
        <v>47</v>
      </c>
      <c r="H90" s="2" t="s">
        <v>26</v>
      </c>
      <c r="I90" s="2" t="s">
        <v>32</v>
      </c>
      <c r="J90" s="2">
        <v>158.36799999999999</v>
      </c>
      <c r="K90" s="2">
        <v>7</v>
      </c>
      <c r="L90" s="4">
        <v>0.2</v>
      </c>
      <c r="M90" s="2">
        <v>13.857200000000001</v>
      </c>
      <c r="N90" s="4">
        <f>Table1[[#This Row],[Profit]]/Table1[[#This Row],[Sales]]</f>
        <v>8.7500000000000008E-2</v>
      </c>
      <c r="O90" s="2" t="str">
        <f>IF(Table1[[#This Row],[Sales]]&gt;500, "High Sales", "Low Sales")</f>
        <v>Low Sales</v>
      </c>
    </row>
    <row r="91" spans="1:15" x14ac:dyDescent="0.3">
      <c r="A91" s="2" t="s">
        <v>28</v>
      </c>
      <c r="B91" s="2" t="s">
        <v>22</v>
      </c>
      <c r="C91" s="2" t="s">
        <v>15</v>
      </c>
      <c r="D91" s="2" t="s">
        <v>23</v>
      </c>
      <c r="E91" s="2" t="s">
        <v>24</v>
      </c>
      <c r="F91" s="2">
        <v>90036</v>
      </c>
      <c r="G91" s="2" t="s">
        <v>25</v>
      </c>
      <c r="H91" s="2" t="s">
        <v>26</v>
      </c>
      <c r="I91" s="2" t="s">
        <v>34</v>
      </c>
      <c r="J91" s="2">
        <v>20.100000000000001</v>
      </c>
      <c r="K91" s="2">
        <v>3</v>
      </c>
      <c r="L91" s="4">
        <v>0</v>
      </c>
      <c r="M91" s="2">
        <v>6.633</v>
      </c>
      <c r="N91" s="4">
        <f>Table1[[#This Row],[Profit]]/Table1[[#This Row],[Sales]]</f>
        <v>0.32999999999999996</v>
      </c>
      <c r="O91" s="2" t="str">
        <f>IF(Table1[[#This Row],[Sales]]&gt;500, "High Sales", "Low Sales")</f>
        <v>Low Sales</v>
      </c>
    </row>
    <row r="92" spans="1:15" x14ac:dyDescent="0.3">
      <c r="A92" s="2" t="s">
        <v>28</v>
      </c>
      <c r="B92" s="2" t="s">
        <v>22</v>
      </c>
      <c r="C92" s="2" t="s">
        <v>15</v>
      </c>
      <c r="D92" s="2" t="s">
        <v>23</v>
      </c>
      <c r="E92" s="2" t="s">
        <v>24</v>
      </c>
      <c r="F92" s="2">
        <v>90036</v>
      </c>
      <c r="G92" s="2" t="s">
        <v>25</v>
      </c>
      <c r="H92" s="2" t="s">
        <v>35</v>
      </c>
      <c r="I92" s="2" t="s">
        <v>36</v>
      </c>
      <c r="J92" s="2">
        <v>73.584000000000003</v>
      </c>
      <c r="K92" s="2">
        <v>2</v>
      </c>
      <c r="L92" s="4">
        <v>0.2</v>
      </c>
      <c r="M92" s="2">
        <v>8.2782</v>
      </c>
      <c r="N92" s="4">
        <f>Table1[[#This Row],[Profit]]/Table1[[#This Row],[Sales]]</f>
        <v>0.11249999999999999</v>
      </c>
      <c r="O92" s="2" t="str">
        <f>IF(Table1[[#This Row],[Sales]]&gt;500, "High Sales", "Low Sales")</f>
        <v>Low Sales</v>
      </c>
    </row>
    <row r="93" spans="1:15" x14ac:dyDescent="0.3">
      <c r="A93" s="2" t="s">
        <v>28</v>
      </c>
      <c r="B93" s="2" t="s">
        <v>22</v>
      </c>
      <c r="C93" s="2" t="s">
        <v>15</v>
      </c>
      <c r="D93" s="2" t="s">
        <v>23</v>
      </c>
      <c r="E93" s="2" t="s">
        <v>24</v>
      </c>
      <c r="F93" s="2">
        <v>90036</v>
      </c>
      <c r="G93" s="2" t="s">
        <v>25</v>
      </c>
      <c r="H93" s="2" t="s">
        <v>26</v>
      </c>
      <c r="I93" s="2" t="s">
        <v>41</v>
      </c>
      <c r="J93" s="2">
        <v>6.48</v>
      </c>
      <c r="K93" s="2">
        <v>1</v>
      </c>
      <c r="L93" s="4">
        <v>0</v>
      </c>
      <c r="M93" s="2">
        <v>3.1103999999999998</v>
      </c>
      <c r="N93" s="4">
        <f>Table1[[#This Row],[Profit]]/Table1[[#This Row],[Sales]]</f>
        <v>0.47999999999999993</v>
      </c>
      <c r="O93" s="2" t="str">
        <f>IF(Table1[[#This Row],[Sales]]&gt;500, "High Sales", "Low Sales")</f>
        <v>Low Sales</v>
      </c>
    </row>
    <row r="94" spans="1:15" x14ac:dyDescent="0.3">
      <c r="A94" s="2" t="s">
        <v>13</v>
      </c>
      <c r="B94" s="2" t="s">
        <v>14</v>
      </c>
      <c r="C94" s="2" t="s">
        <v>15</v>
      </c>
      <c r="D94" s="2" t="s">
        <v>93</v>
      </c>
      <c r="E94" s="2" t="s">
        <v>68</v>
      </c>
      <c r="F94" s="2">
        <v>55407</v>
      </c>
      <c r="G94" s="2" t="s">
        <v>47</v>
      </c>
      <c r="H94" s="2" t="s">
        <v>26</v>
      </c>
      <c r="I94" s="2" t="s">
        <v>41</v>
      </c>
      <c r="J94" s="2">
        <v>12.96</v>
      </c>
      <c r="K94" s="2">
        <v>2</v>
      </c>
      <c r="L94" s="4">
        <v>0</v>
      </c>
      <c r="M94" s="2">
        <v>6.2207999999999997</v>
      </c>
      <c r="N94" s="4">
        <f>Table1[[#This Row],[Profit]]/Table1[[#This Row],[Sales]]</f>
        <v>0.47999999999999993</v>
      </c>
      <c r="O94" s="2" t="str">
        <f>IF(Table1[[#This Row],[Sales]]&gt;500, "High Sales", "Low Sales")</f>
        <v>Low Sales</v>
      </c>
    </row>
    <row r="95" spans="1:15" x14ac:dyDescent="0.3">
      <c r="A95" s="2" t="s">
        <v>13</v>
      </c>
      <c r="B95" s="2" t="s">
        <v>14</v>
      </c>
      <c r="C95" s="2" t="s">
        <v>15</v>
      </c>
      <c r="D95" s="2" t="s">
        <v>93</v>
      </c>
      <c r="E95" s="2" t="s">
        <v>68</v>
      </c>
      <c r="F95" s="2">
        <v>55407</v>
      </c>
      <c r="G95" s="2" t="s">
        <v>47</v>
      </c>
      <c r="H95" s="2" t="s">
        <v>19</v>
      </c>
      <c r="I95" s="2" t="s">
        <v>33</v>
      </c>
      <c r="J95" s="2">
        <v>53.34</v>
      </c>
      <c r="K95" s="2">
        <v>3</v>
      </c>
      <c r="L95" s="4">
        <v>0</v>
      </c>
      <c r="M95" s="2">
        <v>16.535399999999999</v>
      </c>
      <c r="N95" s="4">
        <f>Table1[[#This Row],[Profit]]/Table1[[#This Row],[Sales]]</f>
        <v>0.30999999999999994</v>
      </c>
      <c r="O95" s="2" t="str">
        <f>IF(Table1[[#This Row],[Sales]]&gt;500, "High Sales", "Low Sales")</f>
        <v>Low Sales</v>
      </c>
    </row>
    <row r="96" spans="1:15" x14ac:dyDescent="0.3">
      <c r="A96" s="2" t="s">
        <v>13</v>
      </c>
      <c r="B96" s="2" t="s">
        <v>14</v>
      </c>
      <c r="C96" s="2" t="s">
        <v>15</v>
      </c>
      <c r="D96" s="2" t="s">
        <v>93</v>
      </c>
      <c r="E96" s="2" t="s">
        <v>68</v>
      </c>
      <c r="F96" s="2">
        <v>55407</v>
      </c>
      <c r="G96" s="2" t="s">
        <v>47</v>
      </c>
      <c r="H96" s="2" t="s">
        <v>26</v>
      </c>
      <c r="I96" s="2" t="s">
        <v>37</v>
      </c>
      <c r="J96" s="2">
        <v>32.96</v>
      </c>
      <c r="K96" s="2">
        <v>2</v>
      </c>
      <c r="L96" s="4">
        <v>0</v>
      </c>
      <c r="M96" s="2">
        <v>16.150400000000001</v>
      </c>
      <c r="N96" s="4">
        <f>Table1[[#This Row],[Profit]]/Table1[[#This Row],[Sales]]</f>
        <v>0.49000000000000005</v>
      </c>
      <c r="O96" s="2" t="str">
        <f>IF(Table1[[#This Row],[Sales]]&gt;500, "High Sales", "Low Sales")</f>
        <v>Low Sales</v>
      </c>
    </row>
    <row r="97" spans="1:15" x14ac:dyDescent="0.3">
      <c r="A97" s="2" t="s">
        <v>28</v>
      </c>
      <c r="B97" s="2" t="s">
        <v>44</v>
      </c>
      <c r="C97" s="2" t="s">
        <v>15</v>
      </c>
      <c r="D97" s="2" t="s">
        <v>94</v>
      </c>
      <c r="E97" s="2" t="s">
        <v>95</v>
      </c>
      <c r="F97" s="2">
        <v>97206</v>
      </c>
      <c r="G97" s="2" t="s">
        <v>25</v>
      </c>
      <c r="H97" s="2" t="s">
        <v>26</v>
      </c>
      <c r="I97" s="2" t="s">
        <v>37</v>
      </c>
      <c r="J97" s="2">
        <v>5.6820000000000004</v>
      </c>
      <c r="K97" s="2">
        <v>1</v>
      </c>
      <c r="L97" s="4">
        <v>0.7</v>
      </c>
      <c r="M97" s="2">
        <v>-3.7879999999999998</v>
      </c>
      <c r="N97" s="4">
        <f>Table1[[#This Row],[Profit]]/Table1[[#This Row],[Sales]]</f>
        <v>-0.66666666666666663</v>
      </c>
      <c r="O97" s="2" t="str">
        <f>IF(Table1[[#This Row],[Sales]]&gt;500, "High Sales", "Low Sales")</f>
        <v>Low Sales</v>
      </c>
    </row>
    <row r="98" spans="1:15" x14ac:dyDescent="0.3">
      <c r="A98" s="2" t="s">
        <v>13</v>
      </c>
      <c r="B98" s="2" t="s">
        <v>44</v>
      </c>
      <c r="C98" s="2" t="s">
        <v>15</v>
      </c>
      <c r="D98" s="2" t="s">
        <v>75</v>
      </c>
      <c r="E98" s="2" t="s">
        <v>76</v>
      </c>
      <c r="F98" s="2">
        <v>10009</v>
      </c>
      <c r="G98" s="2" t="s">
        <v>57</v>
      </c>
      <c r="H98" s="2" t="s">
        <v>19</v>
      </c>
      <c r="I98" s="2" t="s">
        <v>33</v>
      </c>
      <c r="J98" s="2">
        <v>96.53</v>
      </c>
      <c r="K98" s="2">
        <v>7</v>
      </c>
      <c r="L98" s="4">
        <v>0</v>
      </c>
      <c r="M98" s="2">
        <v>40.5426</v>
      </c>
      <c r="N98" s="4">
        <f>Table1[[#This Row],[Profit]]/Table1[[#This Row],[Sales]]</f>
        <v>0.42</v>
      </c>
      <c r="O98" s="2" t="str">
        <f>IF(Table1[[#This Row],[Sales]]&gt;500, "High Sales", "Low Sales")</f>
        <v>Low Sales</v>
      </c>
    </row>
    <row r="99" spans="1:15" x14ac:dyDescent="0.3">
      <c r="A99" s="2" t="s">
        <v>62</v>
      </c>
      <c r="B99" s="2" t="s">
        <v>14</v>
      </c>
      <c r="C99" s="2" t="s">
        <v>15</v>
      </c>
      <c r="D99" s="2" t="s">
        <v>52</v>
      </c>
      <c r="E99" s="2" t="s">
        <v>24</v>
      </c>
      <c r="F99" s="2">
        <v>94122</v>
      </c>
      <c r="G99" s="2" t="s">
        <v>25</v>
      </c>
      <c r="H99" s="2" t="s">
        <v>26</v>
      </c>
      <c r="I99" s="2" t="s">
        <v>37</v>
      </c>
      <c r="J99" s="2">
        <v>51.311999999999998</v>
      </c>
      <c r="K99" s="2">
        <v>3</v>
      </c>
      <c r="L99" s="4">
        <v>0.2</v>
      </c>
      <c r="M99" s="2">
        <v>17.959199999999999</v>
      </c>
      <c r="N99" s="4">
        <f>Table1[[#This Row],[Profit]]/Table1[[#This Row],[Sales]]</f>
        <v>0.35</v>
      </c>
      <c r="O99" s="2" t="str">
        <f>IF(Table1[[#This Row],[Sales]]&gt;500, "High Sales", "Low Sales")</f>
        <v>Low Sales</v>
      </c>
    </row>
    <row r="100" spans="1:15" x14ac:dyDescent="0.3">
      <c r="A100" s="2" t="s">
        <v>28</v>
      </c>
      <c r="B100" s="2" t="s">
        <v>22</v>
      </c>
      <c r="C100" s="2" t="s">
        <v>15</v>
      </c>
      <c r="D100" s="2" t="s">
        <v>96</v>
      </c>
      <c r="E100" s="2" t="s">
        <v>68</v>
      </c>
      <c r="F100" s="2">
        <v>55106</v>
      </c>
      <c r="G100" s="2" t="s">
        <v>47</v>
      </c>
      <c r="H100" s="2" t="s">
        <v>26</v>
      </c>
      <c r="I100" s="2" t="s">
        <v>38</v>
      </c>
      <c r="J100" s="2">
        <v>77.88</v>
      </c>
      <c r="K100" s="2">
        <v>6</v>
      </c>
      <c r="L100" s="4">
        <v>0</v>
      </c>
      <c r="M100" s="2">
        <v>22.5852</v>
      </c>
      <c r="N100" s="4">
        <f>Table1[[#This Row],[Profit]]/Table1[[#This Row],[Sales]]</f>
        <v>0.29000000000000004</v>
      </c>
      <c r="O100" s="2" t="str">
        <f>IF(Table1[[#This Row],[Sales]]&gt;500, "High Sales", "Low Sales")</f>
        <v>Low Sales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9414-2BBF-4FCB-8E8D-69BB80E13D67}">
  <dimension ref="A2:O26"/>
  <sheetViews>
    <sheetView zoomScale="99" zoomScaleNormal="99" workbookViewId="0">
      <selection activeCell="D5" sqref="D5"/>
    </sheetView>
  </sheetViews>
  <sheetFormatPr defaultRowHeight="14.4" x14ac:dyDescent="0.3"/>
  <cols>
    <col min="1" max="1" width="15.5546875" bestFit="1" customWidth="1"/>
    <col min="2" max="2" width="11.5546875" bestFit="1" customWidth="1"/>
    <col min="4" max="4" width="12.44140625" bestFit="1" customWidth="1"/>
    <col min="5" max="6" width="11.5546875" bestFit="1" customWidth="1"/>
    <col min="8" max="8" width="14.77734375" bestFit="1" customWidth="1"/>
    <col min="9" max="9" width="11.6640625" bestFit="1" customWidth="1"/>
    <col min="11" max="11" width="12.44140625" bestFit="1" customWidth="1"/>
    <col min="12" max="12" width="11.5546875" bestFit="1" customWidth="1"/>
    <col min="14" max="14" width="12.6640625" bestFit="1" customWidth="1"/>
    <col min="15" max="15" width="11.5546875" bestFit="1" customWidth="1"/>
  </cols>
  <sheetData>
    <row r="2" spans="1:15" x14ac:dyDescent="0.3">
      <c r="A2" s="18" t="s">
        <v>103</v>
      </c>
      <c r="B2" s="18"/>
      <c r="D2" s="19" t="s">
        <v>104</v>
      </c>
      <c r="E2" s="19"/>
      <c r="F2" s="19"/>
      <c r="H2" s="19" t="s">
        <v>105</v>
      </c>
      <c r="I2" s="19"/>
      <c r="K2" s="20" t="s">
        <v>106</v>
      </c>
      <c r="L2" s="20"/>
      <c r="N2" s="19" t="s">
        <v>107</v>
      </c>
      <c r="O2" s="19"/>
    </row>
    <row r="3" spans="1:15" x14ac:dyDescent="0.3">
      <c r="A3" s="5" t="s">
        <v>99</v>
      </c>
      <c r="B3" s="6" t="s">
        <v>101</v>
      </c>
      <c r="D3" s="7" t="s">
        <v>99</v>
      </c>
      <c r="E3" s="8" t="s">
        <v>101</v>
      </c>
      <c r="F3" s="8" t="s">
        <v>102</v>
      </c>
      <c r="H3" s="7" t="s">
        <v>99</v>
      </c>
      <c r="I3" s="8" t="s">
        <v>102</v>
      </c>
      <c r="K3" s="7" t="s">
        <v>99</v>
      </c>
      <c r="L3" s="8" t="s">
        <v>101</v>
      </c>
      <c r="N3" s="7" t="s">
        <v>99</v>
      </c>
      <c r="O3" s="8" t="s">
        <v>102</v>
      </c>
    </row>
    <row r="4" spans="1:15" x14ac:dyDescent="0.3">
      <c r="A4" s="6" t="s">
        <v>47</v>
      </c>
      <c r="B4" s="6">
        <v>4877.7361999999994</v>
      </c>
      <c r="D4" s="8" t="s">
        <v>59</v>
      </c>
      <c r="E4" s="8">
        <v>245.51999999999998</v>
      </c>
      <c r="F4" s="8">
        <v>52.743299999999998</v>
      </c>
      <c r="H4" s="8" t="s">
        <v>19</v>
      </c>
      <c r="I4" s="8">
        <v>-1651.3463000000004</v>
      </c>
      <c r="K4" s="8" t="s">
        <v>14</v>
      </c>
      <c r="L4" s="8">
        <v>14670.74349999999</v>
      </c>
      <c r="N4" s="8" t="s">
        <v>88</v>
      </c>
      <c r="O4" s="8">
        <v>64.238399999999999</v>
      </c>
    </row>
    <row r="5" spans="1:15" x14ac:dyDescent="0.3">
      <c r="A5" s="6" t="s">
        <v>57</v>
      </c>
      <c r="B5" s="6">
        <v>5269.0520000000006</v>
      </c>
      <c r="D5" s="8" t="s">
        <v>38</v>
      </c>
      <c r="E5" s="8">
        <v>530.09</v>
      </c>
      <c r="F5" s="8">
        <v>5.0887999999999991</v>
      </c>
      <c r="H5" s="8" t="s">
        <v>26</v>
      </c>
      <c r="I5" s="8">
        <v>741.16870000000029</v>
      </c>
      <c r="K5" s="8" t="s">
        <v>22</v>
      </c>
      <c r="L5" s="8">
        <v>4735.3139999999994</v>
      </c>
      <c r="N5" s="8" t="s">
        <v>81</v>
      </c>
      <c r="O5" s="8">
        <v>174.29040000000001</v>
      </c>
    </row>
    <row r="6" spans="1:15" x14ac:dyDescent="0.3">
      <c r="A6" s="6" t="s">
        <v>18</v>
      </c>
      <c r="B6" s="6">
        <v>3890.4974999999999</v>
      </c>
      <c r="D6" s="8" t="s">
        <v>34</v>
      </c>
      <c r="E6" s="8">
        <v>1287.068</v>
      </c>
      <c r="F6" s="8">
        <v>145.71020000000001</v>
      </c>
      <c r="H6" s="8" t="s">
        <v>35</v>
      </c>
      <c r="I6" s="8">
        <v>785.66849999999988</v>
      </c>
      <c r="K6" s="8" t="s">
        <v>44</v>
      </c>
      <c r="L6" s="8">
        <v>2033.8501999999999</v>
      </c>
      <c r="N6" s="8" t="s">
        <v>24</v>
      </c>
      <c r="O6" s="8">
        <v>506.57220000000012</v>
      </c>
    </row>
    <row r="7" spans="1:15" x14ac:dyDescent="0.3">
      <c r="A7" s="6" t="s">
        <v>25</v>
      </c>
      <c r="B7" s="6">
        <v>7402.6219999999976</v>
      </c>
      <c r="D7" s="8" t="s">
        <v>37</v>
      </c>
      <c r="E7" s="8">
        <v>722.41000000000008</v>
      </c>
      <c r="F7" s="8">
        <v>223.44309999999996</v>
      </c>
      <c r="H7" s="8" t="s">
        <v>100</v>
      </c>
      <c r="I7" s="8">
        <v>-124.50910000000022</v>
      </c>
      <c r="K7" s="8" t="s">
        <v>100</v>
      </c>
      <c r="L7" s="8">
        <v>21439.907699999989</v>
      </c>
      <c r="N7" s="8" t="s">
        <v>72</v>
      </c>
      <c r="O7" s="8">
        <v>11.054</v>
      </c>
    </row>
    <row r="8" spans="1:15" x14ac:dyDescent="0.3">
      <c r="A8" s="6" t="s">
        <v>100</v>
      </c>
      <c r="B8" s="6">
        <v>21439.907699999996</v>
      </c>
      <c r="D8" s="8" t="s">
        <v>20</v>
      </c>
      <c r="E8" s="8">
        <v>3877.7891999999997</v>
      </c>
      <c r="F8" s="8">
        <v>-1670.115</v>
      </c>
      <c r="N8" s="8" t="s">
        <v>30</v>
      </c>
      <c r="O8" s="8">
        <v>-370.95300000000003</v>
      </c>
    </row>
    <row r="9" spans="1:15" x14ac:dyDescent="0.3">
      <c r="D9" s="8" t="s">
        <v>21</v>
      </c>
      <c r="E9" s="8">
        <v>2771.7809999999999</v>
      </c>
      <c r="F9" s="8">
        <v>131.21340000000001</v>
      </c>
      <c r="N9" s="8" t="s">
        <v>65</v>
      </c>
      <c r="O9" s="8">
        <v>-47.621000000000002</v>
      </c>
    </row>
    <row r="10" spans="1:15" x14ac:dyDescent="0.3">
      <c r="D10" s="8" t="s">
        <v>60</v>
      </c>
      <c r="E10" s="8">
        <v>317.57600000000002</v>
      </c>
      <c r="F10" s="8">
        <v>99.324099999999987</v>
      </c>
      <c r="N10" s="8" t="s">
        <v>74</v>
      </c>
      <c r="O10" s="8">
        <v>73.352900000000005</v>
      </c>
    </row>
    <row r="11" spans="1:15" x14ac:dyDescent="0.3">
      <c r="D11" s="8" t="s">
        <v>77</v>
      </c>
      <c r="E11" s="8">
        <v>15.26</v>
      </c>
      <c r="F11" s="8">
        <v>6.2565999999999997</v>
      </c>
      <c r="N11" s="8" t="s">
        <v>17</v>
      </c>
      <c r="O11" s="8">
        <v>261.49559999999997</v>
      </c>
    </row>
    <row r="12" spans="1:15" x14ac:dyDescent="0.3">
      <c r="D12" s="8" t="s">
        <v>33</v>
      </c>
      <c r="E12" s="8">
        <v>725.81799999999998</v>
      </c>
      <c r="F12" s="8">
        <v>-54.987799999999986</v>
      </c>
      <c r="N12" s="8" t="s">
        <v>70</v>
      </c>
      <c r="O12" s="8">
        <v>17.241399999999999</v>
      </c>
    </row>
    <row r="13" spans="1:15" x14ac:dyDescent="0.3">
      <c r="D13" s="8" t="s">
        <v>27</v>
      </c>
      <c r="E13" s="8">
        <v>95.960000000000008</v>
      </c>
      <c r="F13" s="8">
        <v>45.162800000000004</v>
      </c>
      <c r="N13" s="8" t="s">
        <v>68</v>
      </c>
      <c r="O13" s="8">
        <v>99.222800000000007</v>
      </c>
    </row>
    <row r="14" spans="1:15" x14ac:dyDescent="0.3">
      <c r="D14" s="8" t="s">
        <v>41</v>
      </c>
      <c r="E14" s="8">
        <v>353.084</v>
      </c>
      <c r="F14" s="8">
        <v>160.65170000000001</v>
      </c>
      <c r="N14" s="8" t="s">
        <v>54</v>
      </c>
      <c r="O14" s="8">
        <v>20.747999999999998</v>
      </c>
    </row>
    <row r="15" spans="1:15" x14ac:dyDescent="0.3">
      <c r="D15" s="8" t="s">
        <v>36</v>
      </c>
      <c r="E15" s="8">
        <v>4941.2380000000003</v>
      </c>
      <c r="F15" s="8">
        <v>732.9251999999999</v>
      </c>
      <c r="N15" s="8" t="s">
        <v>76</v>
      </c>
      <c r="O15" s="8">
        <v>449.49650000000003</v>
      </c>
    </row>
    <row r="16" spans="1:15" x14ac:dyDescent="0.3">
      <c r="D16" s="8" t="s">
        <v>32</v>
      </c>
      <c r="E16" s="8">
        <v>1847.922</v>
      </c>
      <c r="F16" s="8">
        <v>55.531400000000005</v>
      </c>
      <c r="N16" s="8" t="s">
        <v>40</v>
      </c>
      <c r="O16" s="8">
        <v>68.250699999999995</v>
      </c>
    </row>
    <row r="17" spans="4:15" x14ac:dyDescent="0.3">
      <c r="D17" s="8" t="s">
        <v>31</v>
      </c>
      <c r="E17" s="8">
        <v>3708.3915000000002</v>
      </c>
      <c r="F17" s="8">
        <v>-57.456900000000019</v>
      </c>
      <c r="N17" s="8" t="s">
        <v>95</v>
      </c>
      <c r="O17" s="8">
        <v>-3.7879999999999998</v>
      </c>
    </row>
    <row r="18" spans="4:15" x14ac:dyDescent="0.3">
      <c r="D18" s="8" t="s">
        <v>100</v>
      </c>
      <c r="E18" s="8">
        <v>21439.9077</v>
      </c>
      <c r="F18" s="8">
        <v>-124.50909999999983</v>
      </c>
      <c r="N18" s="8" t="s">
        <v>56</v>
      </c>
      <c r="O18" s="8">
        <v>-1648.9582</v>
      </c>
    </row>
    <row r="19" spans="4:15" x14ac:dyDescent="0.3">
      <c r="N19" s="8" t="s">
        <v>91</v>
      </c>
      <c r="O19" s="8">
        <v>33.215600000000002</v>
      </c>
    </row>
    <row r="20" spans="4:15" x14ac:dyDescent="0.3">
      <c r="N20" s="8" t="s">
        <v>86</v>
      </c>
      <c r="O20" s="8">
        <v>-131.3742</v>
      </c>
    </row>
    <row r="21" spans="4:15" x14ac:dyDescent="0.3">
      <c r="N21" s="8" t="s">
        <v>46</v>
      </c>
      <c r="O21" s="8">
        <v>-132.82149999999999</v>
      </c>
    </row>
    <row r="22" spans="4:15" x14ac:dyDescent="0.3">
      <c r="N22" s="8" t="s">
        <v>51</v>
      </c>
      <c r="O22" s="8">
        <v>250.25490000000002</v>
      </c>
    </row>
    <row r="23" spans="4:15" x14ac:dyDescent="0.3">
      <c r="N23" s="8" t="s">
        <v>83</v>
      </c>
      <c r="O23" s="8">
        <v>35.663600000000002</v>
      </c>
    </row>
    <row r="24" spans="4:15" x14ac:dyDescent="0.3">
      <c r="N24" s="8" t="s">
        <v>43</v>
      </c>
      <c r="O24" s="8">
        <v>132.59219999999999</v>
      </c>
    </row>
    <row r="25" spans="4:15" x14ac:dyDescent="0.3">
      <c r="N25" s="8" t="s">
        <v>49</v>
      </c>
      <c r="O25" s="8">
        <v>13.317600000000001</v>
      </c>
    </row>
    <row r="26" spans="4:15" x14ac:dyDescent="0.3">
      <c r="N26" s="8" t="s">
        <v>100</v>
      </c>
      <c r="O26" s="8">
        <v>-124.5090999999999</v>
      </c>
    </row>
  </sheetData>
  <mergeCells count="5">
    <mergeCell ref="A2:B2"/>
    <mergeCell ref="D2:F2"/>
    <mergeCell ref="H2:I2"/>
    <mergeCell ref="K2:L2"/>
    <mergeCell ref="N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10C0-02C2-4DAD-8D04-0DBA01F9FC58}">
  <dimension ref="A1:T28"/>
  <sheetViews>
    <sheetView showGridLines="0" tabSelected="1" zoomScale="99" zoomScaleNormal="99" workbookViewId="0">
      <selection activeCell="F2" sqref="F2"/>
    </sheetView>
  </sheetViews>
  <sheetFormatPr defaultRowHeight="14.4" x14ac:dyDescent="0.3"/>
  <cols>
    <col min="1" max="1" width="13.5546875" bestFit="1" customWidth="1"/>
    <col min="2" max="2" width="12.109375" bestFit="1" customWidth="1"/>
    <col min="19" max="19" width="22.33203125" customWidth="1"/>
    <col min="20" max="20" width="14.77734375" customWidth="1"/>
  </cols>
  <sheetData>
    <row r="1" spans="1:20" ht="18" x14ac:dyDescent="0.35">
      <c r="H1" s="28" t="s">
        <v>116</v>
      </c>
      <c r="I1" s="28"/>
      <c r="J1" s="28"/>
      <c r="K1" s="28"/>
    </row>
    <row r="7" spans="1:20" ht="18" x14ac:dyDescent="0.3">
      <c r="A7" s="14"/>
      <c r="B7" s="14"/>
      <c r="R7" s="16" t="s">
        <v>109</v>
      </c>
      <c r="S7" s="16"/>
    </row>
    <row r="8" spans="1:20" ht="15.6" x14ac:dyDescent="0.3">
      <c r="A8" s="23" t="s">
        <v>114</v>
      </c>
      <c r="B8" s="24"/>
      <c r="D8" s="21"/>
      <c r="E8" s="15"/>
      <c r="L8" t="s">
        <v>115</v>
      </c>
    </row>
    <row r="9" spans="1:20" ht="15.6" x14ac:dyDescent="0.3">
      <c r="A9" s="22" t="s">
        <v>111</v>
      </c>
      <c r="B9" s="22">
        <f>SUM(Raw_Data!J:J)</f>
        <v>21439.9077</v>
      </c>
    </row>
    <row r="10" spans="1:20" ht="15.6" x14ac:dyDescent="0.3">
      <c r="A10" s="22" t="s">
        <v>112</v>
      </c>
      <c r="B10" s="22">
        <f>SUM(Raw_Data!M:M)</f>
        <v>-124.50909999999969</v>
      </c>
    </row>
    <row r="11" spans="1:20" ht="18" x14ac:dyDescent="0.35">
      <c r="A11" s="22" t="s">
        <v>113</v>
      </c>
      <c r="B11" s="22">
        <f>SUM(Raw_Data!K:K)</f>
        <v>367</v>
      </c>
      <c r="J11" s="17" t="s">
        <v>108</v>
      </c>
      <c r="K11" s="17"/>
      <c r="L11" s="17"/>
      <c r="M11" s="17"/>
      <c r="N11" s="17"/>
      <c r="O11" s="17"/>
    </row>
    <row r="13" spans="1:20" ht="18" x14ac:dyDescent="0.35">
      <c r="B13" s="25" t="s">
        <v>103</v>
      </c>
      <c r="C13" s="25"/>
      <c r="D13" s="25"/>
      <c r="E13" s="25"/>
      <c r="F13" s="25"/>
      <c r="G13" s="25"/>
      <c r="I13" s="12"/>
      <c r="J13" s="27"/>
      <c r="K13" s="27"/>
      <c r="L13" s="27"/>
      <c r="M13" s="27"/>
      <c r="N13" s="27"/>
      <c r="Q13" s="13"/>
      <c r="R13" s="13"/>
      <c r="S13" s="26"/>
      <c r="T13" s="26"/>
    </row>
    <row r="14" spans="1:20" ht="15" customHeight="1" x14ac:dyDescent="0.3">
      <c r="S14" s="10"/>
      <c r="T14" s="9"/>
    </row>
    <row r="15" spans="1:20" x14ac:dyDescent="0.3">
      <c r="T15" s="11"/>
    </row>
    <row r="26" spans="2:7" ht="18" x14ac:dyDescent="0.35">
      <c r="B26" s="17" t="s">
        <v>110</v>
      </c>
      <c r="C26" s="17"/>
      <c r="D26" s="17"/>
      <c r="E26" s="17"/>
      <c r="F26" s="17"/>
      <c r="G26" s="17"/>
    </row>
    <row r="27" spans="2:7" ht="18" x14ac:dyDescent="0.35">
      <c r="B27" s="27"/>
      <c r="C27" s="27"/>
      <c r="D27" s="27"/>
      <c r="E27" s="27"/>
      <c r="F27" s="27"/>
      <c r="G27" s="27"/>
    </row>
    <row r="28" spans="2:7" x14ac:dyDescent="0.3">
      <c r="B28" s="2"/>
      <c r="C28" s="2"/>
      <c r="D28" s="2"/>
      <c r="E28" s="2"/>
    </row>
  </sheetData>
  <mergeCells count="9">
    <mergeCell ref="H1:K1"/>
    <mergeCell ref="R7:S7"/>
    <mergeCell ref="J11:O11"/>
    <mergeCell ref="S13:T13"/>
    <mergeCell ref="B27:G27"/>
    <mergeCell ref="B13:G13"/>
    <mergeCell ref="J13:N13"/>
    <mergeCell ref="A8:B8"/>
    <mergeCell ref="B26:G26"/>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B219AEF5-952E-41B4-886B-3AE96BD9F2B9}">
          <x14:colorSeries rgb="FF376092"/>
          <x14:colorNegative rgb="FFD00000"/>
          <x14:colorAxis rgb="FF000000"/>
          <x14:colorMarkers rgb="FFD00000"/>
          <x14:colorFirst rgb="FFD00000"/>
          <x14:colorLast rgb="FFD00000"/>
          <x14:colorHigh rgb="FFD00000"/>
          <x14:colorLow rgb="FFD00000"/>
          <x14:sparklines>
            <x14:sparkline>
              <xm:f>Dashboard!B12:B12</xm:f>
              <xm:sqref>K28</xm:sqref>
            </x14:sparkline>
            <x14:sparkline>
              <xm:f>Dashboard!B13:B13</xm:f>
              <xm:sqref>L29</xm:sqref>
            </x14:sparkline>
          </x14:sparklines>
        </x14:sparklineGroup>
        <x14:sparklineGroup type="column" displayEmptyCellsAs="gap" xr2:uid="{9DA1B141-D17F-4525-B82E-4CC0CAB28782}">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Dashboard!B12:B12</xm:f>
              <xm:sqref>K29</xm:sqref>
            </x14:sparkline>
            <x14:sparkline>
              <xm:f>Dashboard!B13:B13</xm:f>
              <xm:sqref>K30</xm:sqref>
            </x14:sparkline>
            <x14:sparkline>
              <xm:f>Dashboard!B14:B14</xm:f>
              <xm:sqref>K31</xm:sqref>
            </x14:sparkline>
            <x14:sparkline>
              <xm:f>Dashboard!B15:B15</xm:f>
              <xm:sqref>K32</xm:sqref>
            </x14:sparkline>
            <x14:sparkline>
              <xm:f>Dashboard!B16:B16</xm:f>
              <xm:sqref>K33</xm:sqref>
            </x14:sparkline>
            <x14:sparkline>
              <xm:f>Dashboard!B17:B17</xm:f>
              <xm:sqref>K34</xm:sqref>
            </x14:sparkline>
          </x14:sparklines>
        </x14:sparklineGroup>
      </x14:sparklineGroups>
    </ex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himangi2017@gmail.com</dc:creator>
  <cp:lastModifiedBy>himangi2017@gmail.com</cp:lastModifiedBy>
  <dcterms:created xsi:type="dcterms:W3CDTF">2026-06-06T10:49:22Z</dcterms:created>
  <dcterms:modified xsi:type="dcterms:W3CDTF">2026-06-07T13:13:14Z</dcterms:modified>
</cp:coreProperties>
</file>